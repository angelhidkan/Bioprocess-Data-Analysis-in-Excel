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al\Downloads\"/>
    </mc:Choice>
  </mc:AlternateContent>
  <xr:revisionPtr revIDLastSave="0" documentId="8_{7EC995FF-048E-4593-A493-2D92E3831C60}" xr6:coauthVersionLast="47" xr6:coauthVersionMax="47" xr10:uidLastSave="{00000000-0000-0000-0000-000000000000}"/>
  <bookViews>
    <workbookView xWindow="-108" yWindow="-108" windowWidth="23256" windowHeight="13896" activeTab="3" xr2:uid="{FA9CD23A-E8C1-4D3E-B6A3-6382E46F44A3}"/>
  </bookViews>
  <sheets>
    <sheet name="SPECS_LIMITS" sheetId="2" r:id="rId1"/>
    <sheet name="BATCH_DATA" sheetId="3" r:id="rId2"/>
    <sheet name="KPI_SUMMARY" sheetId="4" r:id="rId3"/>
    <sheet name="DASHBOARD" sheetId="5" r:id="rId4"/>
  </sheets>
  <definedNames>
    <definedName name="_xlnm._FilterDatabase" localSheetId="1" hidden="1">BATCH_DATA!$G$3:$L$17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6" i="4" l="1"/>
  <c r="E25" i="4"/>
  <c r="E24" i="4"/>
  <c r="B28" i="4"/>
  <c r="B27" i="4"/>
  <c r="B26" i="4"/>
  <c r="E14" i="4"/>
  <c r="E13" i="4"/>
  <c r="E6" i="4"/>
  <c r="E7" i="4"/>
  <c r="E5" i="4"/>
  <c r="B5" i="4"/>
  <c r="M4" i="3"/>
  <c r="S4" i="3" s="1"/>
  <c r="M5" i="3"/>
  <c r="S5" i="3" s="1"/>
  <c r="M6" i="3"/>
  <c r="S6" i="3" s="1"/>
  <c r="M7" i="3"/>
  <c r="S7" i="3" s="1"/>
  <c r="M8" i="3"/>
  <c r="S8" i="3" s="1"/>
  <c r="M9" i="3"/>
  <c r="S9" i="3" s="1"/>
  <c r="M10" i="3"/>
  <c r="S10" i="3" s="1"/>
  <c r="M11" i="3"/>
  <c r="S11" i="3" s="1"/>
  <c r="M12" i="3"/>
  <c r="S12" i="3" s="1"/>
  <c r="M13" i="3"/>
  <c r="S13" i="3" s="1"/>
  <c r="M14" i="3"/>
  <c r="S14" i="3" s="1"/>
  <c r="M15" i="3"/>
  <c r="S15" i="3" s="1"/>
  <c r="M16" i="3"/>
  <c r="S16" i="3" s="1"/>
  <c r="M17" i="3"/>
  <c r="S17" i="3" s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3" i="3"/>
  <c r="B20" i="4" s="1"/>
  <c r="Q3" i="3"/>
  <c r="B19" i="4" s="1"/>
  <c r="P3" i="3"/>
  <c r="B18" i="4" s="1"/>
  <c r="N3" i="3"/>
  <c r="B16" i="4" s="1"/>
  <c r="O3" i="3"/>
  <c r="B17" i="4" s="1"/>
  <c r="M3" i="3"/>
  <c r="G6" i="4" l="1"/>
  <c r="F6" i="4"/>
  <c r="H6" i="4" s="1"/>
  <c r="F14" i="4"/>
  <c r="H14" i="4" s="1"/>
  <c r="G14" i="4"/>
  <c r="F7" i="4"/>
  <c r="H7" i="4" s="1"/>
  <c r="G7" i="4"/>
  <c r="B15" i="4"/>
  <c r="S3" i="3"/>
  <c r="B7" i="4" l="1"/>
  <c r="B9" i="4" s="1"/>
  <c r="F5" i="4"/>
  <c r="H5" i="4" s="1"/>
  <c r="B6" i="4"/>
  <c r="B8" i="4" s="1"/>
  <c r="G5" i="4"/>
  <c r="F13" i="4"/>
  <c r="H13" i="4" s="1"/>
  <c r="G13" i="4"/>
</calcChain>
</file>

<file path=xl/sharedStrings.xml><?xml version="1.0" encoding="utf-8"?>
<sst xmlns="http://schemas.openxmlformats.org/spreadsheetml/2006/main" count="140" uniqueCount="76">
  <si>
    <t>mAb_X</t>
  </si>
  <si>
    <t>mAb_Y</t>
  </si>
  <si>
    <t>mAb_Z</t>
  </si>
  <si>
    <t>Product</t>
  </si>
  <si>
    <t>Training assumption for portfolio project — not a validated manufacturing specification.</t>
  </si>
  <si>
    <t>Batch ID</t>
  </si>
  <si>
    <t>BATCH-001</t>
  </si>
  <si>
    <t>Production Line</t>
  </si>
  <si>
    <t>Start Date</t>
  </si>
  <si>
    <t>End Date</t>
  </si>
  <si>
    <t>Shift</t>
  </si>
  <si>
    <t>Day</t>
  </si>
  <si>
    <t>Line_A</t>
  </si>
  <si>
    <t>Temperature</t>
  </si>
  <si>
    <t>pH</t>
  </si>
  <si>
    <t>DO</t>
  </si>
  <si>
    <t>Yield</t>
  </si>
  <si>
    <t>Purity</t>
  </si>
  <si>
    <t>Potency</t>
  </si>
  <si>
    <t>Temperature Status</t>
  </si>
  <si>
    <t>pH Status</t>
  </si>
  <si>
    <t>DO Status</t>
  </si>
  <si>
    <t>Yield Status</t>
  </si>
  <si>
    <t>Purity Status</t>
  </si>
  <si>
    <t>Potency Status</t>
  </si>
  <si>
    <t>Overall Status</t>
  </si>
  <si>
    <t>BATCH-002</t>
  </si>
  <si>
    <t>Line_B</t>
  </si>
  <si>
    <t>BATCH-003</t>
  </si>
  <si>
    <t>Night</t>
  </si>
  <si>
    <t>BATCH-004</t>
  </si>
  <si>
    <t>BATCH-005</t>
  </si>
  <si>
    <t>BATCH-006</t>
  </si>
  <si>
    <t>BATCH-007</t>
  </si>
  <si>
    <t>BATCH-008</t>
  </si>
  <si>
    <t>BATCH-009</t>
  </si>
  <si>
    <t>BATCH-010</t>
  </si>
  <si>
    <t>BATCH-011</t>
  </si>
  <si>
    <t>BATCH-012</t>
  </si>
  <si>
    <t>BATCH-013</t>
  </si>
  <si>
    <t>BATCH-014</t>
  </si>
  <si>
    <t>BATCH-015</t>
  </si>
  <si>
    <t>Batch Performance Summary</t>
  </si>
  <si>
    <t>KPI</t>
  </si>
  <si>
    <t>Value</t>
  </si>
  <si>
    <t>Total Batches</t>
  </si>
  <si>
    <t>Passing Batches</t>
  </si>
  <si>
    <t>Failing Batches</t>
  </si>
  <si>
    <t>Overall Pass Rate</t>
  </si>
  <si>
    <t>Parameter Failure Summary</t>
  </si>
  <si>
    <t>Parameter</t>
  </si>
  <si>
    <t>Failures</t>
  </si>
  <si>
    <t>Passing</t>
  </si>
  <si>
    <t>Failing</t>
  </si>
  <si>
    <t>Pass Rate</t>
  </si>
  <si>
    <t>Product Level Performance Summary</t>
  </si>
  <si>
    <t>Production Line Summary</t>
  </si>
  <si>
    <t>Average Quality Results</t>
  </si>
  <si>
    <t>Average</t>
  </si>
  <si>
    <t>Average Process Conditions</t>
  </si>
  <si>
    <t>Biopharma Batch Performance Dashboard</t>
  </si>
  <si>
    <t xml:space="preserve">Overall Failing Rate </t>
  </si>
  <si>
    <t>pH Lower Threshold</t>
  </si>
  <si>
    <t>pH Upper Threshold</t>
  </si>
  <si>
    <t>Temperature (°C)</t>
  </si>
  <si>
    <t>Yield (%)</t>
  </si>
  <si>
    <t>Purity (%)</t>
  </si>
  <si>
    <t>Temperature Lower Threshold  (°C)</t>
  </si>
  <si>
    <t>Temperature Upper Threshold  (°C)</t>
  </si>
  <si>
    <t>Yield Lower Threshold (%)</t>
  </si>
  <si>
    <t>Purity Lower Threshold (%)</t>
  </si>
  <si>
    <t>DO Lower Threshold (%)</t>
  </si>
  <si>
    <t>DO Upper Threshold (%)</t>
  </si>
  <si>
    <t>Potency Lower Threshold (%)</t>
  </si>
  <si>
    <t>DO (%)</t>
  </si>
  <si>
    <t>Potency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</si>
</sst>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 Unicode MS"/>
    </font>
    <font>
      <sz val="11"/>
      <color theme="1" tint="4.9989318521683403E-2"/>
      <name val="Arial"/>
      <family val="2"/>
    </font>
    <font>
      <sz val="10"/>
      <color theme="1" tint="4.9989318521683403E-2"/>
      <name val="Arial Unicode MS"/>
    </font>
    <font>
      <sz val="22"/>
      <color theme="1"/>
      <name val="Arial Unicode MS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DDDDDD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Border="1"/>
    <xf numFmtId="0" fontId="0" fillId="0" borderId="1" xfId="0" applyBorder="1"/>
    <xf numFmtId="0" fontId="0" fillId="0" borderId="0" xfId="0" applyFill="1" applyBorder="1"/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22" fontId="4" fillId="4" borderId="1" xfId="0" applyNumberFormat="1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0" fillId="4" borderId="1" xfId="0" applyFill="1" applyBorder="1"/>
    <xf numFmtId="0" fontId="4" fillId="4" borderId="3" xfId="0" applyFont="1" applyFill="1" applyBorder="1" applyAlignment="1">
      <alignment horizontal="left" vertical="center" wrapText="1"/>
    </xf>
    <xf numFmtId="22" fontId="4" fillId="4" borderId="3" xfId="0" applyNumberFormat="1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22" fontId="3" fillId="0" borderId="0" xfId="0" applyNumberFormat="1" applyFont="1" applyFill="1" applyBorder="1" applyAlignment="1">
      <alignment horizontal="left" vertical="center" wrapText="1"/>
    </xf>
    <xf numFmtId="166" fontId="0" fillId="0" borderId="1" xfId="1" applyNumberFormat="1" applyFont="1" applyBorder="1"/>
    <xf numFmtId="0" fontId="0" fillId="8" borderId="1" xfId="0" applyFill="1" applyBorder="1"/>
    <xf numFmtId="0" fontId="0" fillId="2" borderId="1" xfId="0" applyFill="1" applyBorder="1"/>
    <xf numFmtId="0" fontId="4" fillId="8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166" fontId="4" fillId="0" borderId="1" xfId="1" applyNumberFormat="1" applyFont="1" applyBorder="1" applyAlignment="1">
      <alignment horizontal="left" vertical="center" wrapText="1"/>
    </xf>
    <xf numFmtId="0" fontId="0" fillId="9" borderId="1" xfId="0" applyFill="1" applyBorder="1" applyAlignment="1">
      <alignment horizontal="center"/>
    </xf>
    <xf numFmtId="0" fontId="4" fillId="10" borderId="1" xfId="0" applyFont="1" applyFill="1" applyBorder="1" applyAlignment="1">
      <alignment horizontal="center" vertical="center" wrapText="1"/>
    </xf>
    <xf numFmtId="166" fontId="0" fillId="0" borderId="1" xfId="1" applyNumberFormat="1" applyFont="1" applyFill="1" applyBorder="1"/>
    <xf numFmtId="0" fontId="4" fillId="5" borderId="1" xfId="0" applyFont="1" applyFill="1" applyBorder="1" applyAlignment="1">
      <alignment horizontal="left" vertical="center" wrapText="1"/>
    </xf>
    <xf numFmtId="2" fontId="0" fillId="0" borderId="1" xfId="0" applyNumberFormat="1" applyBorder="1"/>
    <xf numFmtId="0" fontId="4" fillId="11" borderId="1" xfId="0" applyFont="1" applyFill="1" applyBorder="1" applyAlignment="1">
      <alignment horizontal="center" vertical="center" wrapText="1"/>
    </xf>
    <xf numFmtId="166" fontId="0" fillId="0" borderId="0" xfId="1" applyNumberFormat="1" applyFont="1"/>
    <xf numFmtId="0" fontId="7" fillId="12" borderId="10" xfId="0" applyFont="1" applyFill="1" applyBorder="1" applyAlignment="1">
      <alignment horizontal="center" vertical="center" wrapText="1"/>
    </xf>
    <xf numFmtId="0" fontId="7" fillId="12" borderId="0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4" xfId="0" applyBorder="1" applyAlignment="1"/>
    <xf numFmtId="0" fontId="0" fillId="0" borderId="5" xfId="0" applyBorder="1" applyAlignment="1"/>
  </cellXfs>
  <cellStyles count="2">
    <cellStyle name="Normal" xfId="0" builtinId="0"/>
    <cellStyle name="Per cent" xfId="1" builtinId="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27" formatCode="dd/mm/yyyy\ h:mm"/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27" formatCode="dd/mm/yyyy\ h:mm"/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rial Unicode MS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Overall Batch Disposition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2760286335495673"/>
          <c:y val="0.14366418836152536"/>
          <c:w val="0.90671777154914335"/>
          <c:h val="0.7723186976891467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133-42DF-8D1A-7459EC3FF69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33-42DF-8D1A-7459EC3FF695}"/>
              </c:ext>
            </c:extLst>
          </c:dPt>
          <c:dLbls>
            <c:dLbl>
              <c:idx val="0"/>
              <c:layout>
                <c:manualLayout>
                  <c:x val="0.14836155880621255"/>
                  <c:y val="0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133-42DF-8D1A-7459EC3FF695}"/>
                </c:ext>
              </c:extLst>
            </c:dLbl>
            <c:dLbl>
              <c:idx val="1"/>
              <c:layout>
                <c:manualLayout>
                  <c:x val="-0.12858001763205087"/>
                  <c:y val="-2.182368694866192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133-42DF-8D1A-7459EC3FF695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KPI_SUMMARY!$A$6:$A$7</c:f>
              <c:strCache>
                <c:ptCount val="2"/>
                <c:pt idx="0">
                  <c:v>Passing Batches</c:v>
                </c:pt>
                <c:pt idx="1">
                  <c:v>Failing Batches</c:v>
                </c:pt>
              </c:strCache>
            </c:strRef>
          </c:cat>
          <c:val>
            <c:numRef>
              <c:f>KPI_SUMMARY!$B$8:$B$9</c:f>
              <c:numCache>
                <c:formatCode>0.0%</c:formatCode>
                <c:ptCount val="2"/>
                <c:pt idx="0">
                  <c:v>0.73333333333333328</c:v>
                </c:pt>
                <c:pt idx="1">
                  <c:v>0.26666666666666666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33-42DF-8D1A-7459EC3FF6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685734134009819"/>
          <c:y val="0.90247475454796189"/>
          <c:w val="0.51925455261007314"/>
          <c:h val="9.2069323714872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Batch Performance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Pass</c:v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KPI_SUMMARY!$D$5:$D$7</c:f>
              <c:strCache>
                <c:ptCount val="3"/>
                <c:pt idx="0">
                  <c:v>mAb_X</c:v>
                </c:pt>
                <c:pt idx="1">
                  <c:v>mAb_Y</c:v>
                </c:pt>
                <c:pt idx="2">
                  <c:v>mAb_Z</c:v>
                </c:pt>
              </c:strCache>
            </c:strRef>
          </c:cat>
          <c:val>
            <c:numRef>
              <c:f>KPI_SUMMARY!$F$5:$F$7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D-40B5-80FE-E41F6A459947}"/>
            </c:ext>
          </c:extLst>
        </c:ser>
        <c:ser>
          <c:idx val="1"/>
          <c:order val="1"/>
          <c:tx>
            <c:v>Fail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KPI_SUMMARY!$D$5:$D$7</c:f>
              <c:strCache>
                <c:ptCount val="3"/>
                <c:pt idx="0">
                  <c:v>mAb_X</c:v>
                </c:pt>
                <c:pt idx="1">
                  <c:v>mAb_Y</c:v>
                </c:pt>
                <c:pt idx="2">
                  <c:v>mAb_Z</c:v>
                </c:pt>
              </c:strCache>
            </c:strRef>
          </c:cat>
          <c:val>
            <c:numRef>
              <c:f>KPI_SUMMARY!$G$5:$G$7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AD-40B5-80FE-E41F6A4599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1244575"/>
        <c:axId val="933116175"/>
      </c:barChart>
      <c:catAx>
        <c:axId val="154124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33116175"/>
        <c:crosses val="autoZero"/>
        <c:auto val="1"/>
        <c:lblAlgn val="ctr"/>
        <c:lblOffset val="100"/>
        <c:noMultiLvlLbl val="0"/>
      </c:catAx>
      <c:valAx>
        <c:axId val="93311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4124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Failures by Parameter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KPI_SUMMARY!$A$15:$A$20</c:f>
              <c:strCache>
                <c:ptCount val="6"/>
                <c:pt idx="0">
                  <c:v>Temperature</c:v>
                </c:pt>
                <c:pt idx="1">
                  <c:v>pH</c:v>
                </c:pt>
                <c:pt idx="2">
                  <c:v>DO</c:v>
                </c:pt>
                <c:pt idx="3">
                  <c:v>Yield</c:v>
                </c:pt>
                <c:pt idx="4">
                  <c:v>Purity</c:v>
                </c:pt>
                <c:pt idx="5">
                  <c:v>Potency</c:v>
                </c:pt>
              </c:strCache>
            </c:strRef>
          </c:cat>
          <c:val>
            <c:numRef>
              <c:f>KPI_SUMMARY!$B$15:$B$20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3-4D43-B530-25E2AE8B74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6451839"/>
        <c:axId val="933114255"/>
      </c:barChart>
      <c:catAx>
        <c:axId val="152645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33114255"/>
        <c:crosses val="autoZero"/>
        <c:auto val="1"/>
        <c:lblAlgn val="ctr"/>
        <c:lblOffset val="100"/>
        <c:noMultiLvlLbl val="0"/>
      </c:catAx>
      <c:valAx>
        <c:axId val="93311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264518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Batch Performance by Production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1436261041986309E-2"/>
          <c:y val="0.14452221818592392"/>
          <c:w val="0.9385637389580137"/>
          <c:h val="0.67626327273976838"/>
        </c:manualLayout>
      </c:layout>
      <c:barChart>
        <c:barDir val="col"/>
        <c:grouping val="clustered"/>
        <c:varyColors val="0"/>
        <c:ser>
          <c:idx val="0"/>
          <c:order val="0"/>
          <c:tx>
            <c:v>Pass</c:v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KPI_SUMMARY!$D$13:$D$14</c:f>
              <c:strCache>
                <c:ptCount val="2"/>
                <c:pt idx="0">
                  <c:v>Line_A</c:v>
                </c:pt>
                <c:pt idx="1">
                  <c:v>Line_B</c:v>
                </c:pt>
              </c:strCache>
            </c:strRef>
          </c:cat>
          <c:val>
            <c:numRef>
              <c:f>KPI_SUMMARY!$F$13:$F$14</c:f>
              <c:numCache>
                <c:formatCode>General</c:formatCode>
                <c:ptCount val="2"/>
                <c:pt idx="0">
                  <c:v>6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9-475B-A030-B0BA843F70DE}"/>
            </c:ext>
          </c:extLst>
        </c:ser>
        <c:ser>
          <c:idx val="1"/>
          <c:order val="1"/>
          <c:tx>
            <c:v>Fail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KPI_SUMMARY!$D$13:$D$14</c:f>
              <c:strCache>
                <c:ptCount val="2"/>
                <c:pt idx="0">
                  <c:v>Line_A</c:v>
                </c:pt>
                <c:pt idx="1">
                  <c:v>Line_B</c:v>
                </c:pt>
              </c:strCache>
            </c:strRef>
          </c:cat>
          <c:val>
            <c:numRef>
              <c:f>KPI_SUMMARY!$G$13:$G$14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C9-475B-A030-B0BA843F70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6457407"/>
        <c:axId val="933044175"/>
      </c:barChart>
      <c:catAx>
        <c:axId val="15264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33044175"/>
        <c:crosses val="autoZero"/>
        <c:auto val="1"/>
        <c:lblAlgn val="ctr"/>
        <c:lblOffset val="100"/>
        <c:noMultiLvlLbl val="0"/>
      </c:catAx>
      <c:valAx>
        <c:axId val="93304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264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429697</xdr:colOff>
      <xdr:row>2</xdr:row>
      <xdr:rowOff>54429</xdr:rowOff>
    </xdr:from>
    <xdr:to>
      <xdr:col>10</xdr:col>
      <xdr:colOff>424544</xdr:colOff>
      <xdr:row>21</xdr:row>
      <xdr:rowOff>21772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BDC65A-E328-314F-BE89-53945C2D5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3153</xdr:colOff>
      <xdr:row>21</xdr:row>
      <xdr:rowOff>148556</xdr:rowOff>
    </xdr:from>
    <xdr:to>
      <xdr:col>24</xdr:col>
      <xdr:colOff>185058</xdr:colOff>
      <xdr:row>40</xdr:row>
      <xdr:rowOff>174171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DD7B41-BD78-45CF-921A-EE32777BE2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6274</xdr:colOff>
      <xdr:row>1</xdr:row>
      <xdr:rowOff>167639</xdr:rowOff>
    </xdr:from>
    <xdr:to>
      <xdr:col>24</xdr:col>
      <xdr:colOff>163285</xdr:colOff>
      <xdr:row>21</xdr:row>
      <xdr:rowOff>10886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610A9B-4178-4FEB-8BBB-FD5C098A9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431586</xdr:colOff>
      <xdr:row>21</xdr:row>
      <xdr:rowOff>159441</xdr:rowOff>
    </xdr:from>
    <xdr:to>
      <xdr:col>10</xdr:col>
      <xdr:colOff>381000</xdr:colOff>
      <xdr:row>41</xdr:row>
      <xdr:rowOff>163285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3AFEA7-4B56-46B5-94FA-7A5EC46F3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94249F-C364-4F3B-BDE0-A60C70ECB0ED}" name="BatchData" displayName="BatchData" ref="A2:S17" insertRowShift="1" totalsRowShown="0" headerRowDxfId="23" dataDxfId="22" headerRowBorderDxfId="20" tableBorderDxfId="21" totalsRowBorderDxfId="19">
  <autoFilter ref="A2:S17" xr:uid="{7E94249F-C364-4F3B-BDE0-A60C70ECB0ED}"/>
  <tableColumns count="19">
    <tableColumn id="1" xr3:uid="{DBECAAF9-A1D7-4DB2-85CF-8220F9D39319}" name="Batch ID" dataDxfId="18"/>
    <tableColumn id="2" xr3:uid="{13D976B2-3EA1-4DAB-8E4D-AC03D9D9664C}" name="Product" dataDxfId="17"/>
    <tableColumn id="3" xr3:uid="{E8CBB774-2840-4D32-A242-942B82FFFCB3}" name="Production Line" dataDxfId="16"/>
    <tableColumn id="4" xr3:uid="{3D8C136F-F293-400A-973B-88CC6F38DB64}" name="Start Date" dataDxfId="15"/>
    <tableColumn id="5" xr3:uid="{22983A4C-9389-4921-889C-EC62C7A9CBF8}" name="End Date" dataDxfId="14"/>
    <tableColumn id="6" xr3:uid="{7420E749-9AF9-43E7-B7BC-FC88C76282A5}" name="Shift" dataDxfId="13"/>
    <tableColumn id="7" xr3:uid="{2F32D224-A768-4A7F-89D6-7665DAA4AF0C}" name="Temperature (°C)" dataDxfId="12"/>
    <tableColumn id="8" xr3:uid="{A099780D-32E2-491A-BA74-A9DDFC7D24D4}" name="pH" dataDxfId="11"/>
    <tableColumn id="9" xr3:uid="{330518EC-E676-4106-A875-268F20FDC95E}" name="DO (%)" dataDxfId="10"/>
    <tableColumn id="10" xr3:uid="{2DACA70F-E9F2-41A1-839F-A6644CC306BC}" name="Yield (%)" dataDxfId="9"/>
    <tableColumn id="11" xr3:uid="{21930332-68AA-407B-9E7E-743BEAD72E0D}" name="Purity (%)" dataDxfId="8"/>
    <tableColumn id="12" xr3:uid="{77040278-779F-476B-8C27-C3133BD33224}" name="Potency (%)" dataDxfId="7"/>
    <tableColumn id="13" xr3:uid="{AAC5F230-D295-4D5C-B883-116320E76BE4}" name="Temperature Status" dataDxfId="6">
      <calculatedColumnFormula>IF(AND(G3&gt;=VLOOKUP($B3,SPECS_LIMITS!$A$2:$J$4,2,FALSE),G3&lt;=VLOOKUP($B3,SPECS_LIMITS!$A$2:$J$4,3,FALSE)),"PASS","FAIL")</calculatedColumnFormula>
    </tableColumn>
    <tableColumn id="14" xr3:uid="{7481D9C4-89B6-4280-AB6A-A7693AE14923}" name="pH Status" dataDxfId="5">
      <calculatedColumnFormula>IF(AND(H3&gt;=VLOOKUP($B3,SPECS_LIMITS!$A$2:$J$4,4,FALSE),H3&lt;=VLOOKUP($B3,SPECS_LIMITS!$A$2:$J$4,5,FALSE)),"PASS","FAIL")</calculatedColumnFormula>
    </tableColumn>
    <tableColumn id="15" xr3:uid="{62A0F0E6-2B13-4DE4-B411-14D1043D2FA9}" name="DO Status" dataDxfId="4">
      <calculatedColumnFormula>IF(AND(I3&gt;=VLOOKUP($B3,SPECS_LIMITS!$A$2:$J$4,6,FALSE),I3&lt;=VLOOKUP($B3,SPECS_LIMITS!$A$2:$J$4,7,FALSE)),"PASS","FAIL")</calculatedColumnFormula>
    </tableColumn>
    <tableColumn id="16" xr3:uid="{B5792B53-B189-4542-8A63-009B09E1F186}" name="Yield Status" dataDxfId="3">
      <calculatedColumnFormula>IF(J3&gt;=VLOOKUP($B3,SPECS_LIMITS!$A$2:$J$4,8,FALSE),"PASS","FAIL")</calculatedColumnFormula>
    </tableColumn>
    <tableColumn id="17" xr3:uid="{43C91585-9256-4E34-BAE3-82D6867AF076}" name="Purity Status" dataDxfId="2">
      <calculatedColumnFormula>IF(K3&gt;=VLOOKUP($B3,SPECS_LIMITS!$A$2:$J$4,9,FALSE),"PASS","FAIL")</calculatedColumnFormula>
    </tableColumn>
    <tableColumn id="18" xr3:uid="{A10A0182-5FEB-4A41-8F92-5F67D757C123}" name="Potency Status" dataDxfId="1">
      <calculatedColumnFormula>IF(L3&gt;=VLOOKUP($B3,SPECS_LIMITS!$A$2:$J$4,10,FALSE),"PASS","FAIL")</calculatedColumnFormula>
    </tableColumn>
    <tableColumn id="19" xr3:uid="{136D2BE4-2246-4935-9D66-6A19EE819000}" name="Overall Status" dataDxfId="0">
      <calculatedColumnFormula>IF(COUNTIF(M3:R3,"FAIL")&gt;0,"FAIL","PASS")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CAF39-D8B1-45A2-9755-3C55ECD2FC24}">
  <dimension ref="A1:R25"/>
  <sheetViews>
    <sheetView workbookViewId="0">
      <selection activeCell="D15" sqref="D15"/>
    </sheetView>
  </sheetViews>
  <sheetFormatPr defaultRowHeight="14.4"/>
  <cols>
    <col min="1" max="1" width="10.5546875" customWidth="1"/>
    <col min="2" max="2" width="21.77734375" customWidth="1"/>
    <col min="3" max="3" width="22.6640625" customWidth="1"/>
    <col min="4" max="4" width="18.33203125" customWidth="1"/>
    <col min="5" max="5" width="18.109375" customWidth="1"/>
    <col min="6" max="6" width="17.44140625" customWidth="1"/>
    <col min="7" max="7" width="16.77734375" customWidth="1"/>
    <col min="8" max="8" width="20" customWidth="1"/>
    <col min="9" max="9" width="17.109375" customWidth="1"/>
    <col min="10" max="10" width="18.21875" customWidth="1"/>
  </cols>
  <sheetData>
    <row r="1" spans="1:18" ht="27.6">
      <c r="A1" s="1" t="s">
        <v>3</v>
      </c>
      <c r="B1" s="6" t="s">
        <v>67</v>
      </c>
      <c r="C1" s="6" t="s">
        <v>68</v>
      </c>
      <c r="D1" s="6" t="s">
        <v>62</v>
      </c>
      <c r="E1" s="6" t="s">
        <v>63</v>
      </c>
      <c r="F1" s="6" t="s">
        <v>71</v>
      </c>
      <c r="G1" s="6" t="s">
        <v>72</v>
      </c>
      <c r="H1" s="6" t="s">
        <v>69</v>
      </c>
      <c r="I1" s="6" t="s">
        <v>70</v>
      </c>
      <c r="J1" s="6" t="s">
        <v>73</v>
      </c>
      <c r="K1" s="5"/>
      <c r="L1" s="5"/>
    </row>
    <row r="2" spans="1:18">
      <c r="A2" s="2" t="s">
        <v>0</v>
      </c>
      <c r="B2" s="7">
        <v>36</v>
      </c>
      <c r="C2" s="7">
        <v>38</v>
      </c>
      <c r="D2" s="7">
        <v>6.9</v>
      </c>
      <c r="E2" s="7">
        <v>7.3</v>
      </c>
      <c r="F2" s="7">
        <v>30</v>
      </c>
      <c r="G2" s="7">
        <v>60</v>
      </c>
      <c r="H2" s="7">
        <v>83</v>
      </c>
      <c r="I2" s="7">
        <v>95</v>
      </c>
      <c r="J2" s="7">
        <v>90</v>
      </c>
    </row>
    <row r="3" spans="1:18">
      <c r="A3" s="2" t="s">
        <v>1</v>
      </c>
      <c r="B3" s="8">
        <v>36</v>
      </c>
      <c r="C3" s="8">
        <v>38</v>
      </c>
      <c r="D3" s="8">
        <v>6.9</v>
      </c>
      <c r="E3" s="8">
        <v>7.3</v>
      </c>
      <c r="F3" s="8">
        <v>30</v>
      </c>
      <c r="G3" s="8">
        <v>60</v>
      </c>
      <c r="H3" s="8">
        <v>84</v>
      </c>
      <c r="I3" s="8">
        <v>95</v>
      </c>
      <c r="J3" s="8">
        <v>90</v>
      </c>
    </row>
    <row r="4" spans="1:18">
      <c r="A4" s="2" t="s">
        <v>2</v>
      </c>
      <c r="B4" s="7">
        <v>35.5</v>
      </c>
      <c r="C4" s="7">
        <v>37.5</v>
      </c>
      <c r="D4" s="7">
        <v>6.8</v>
      </c>
      <c r="E4" s="7">
        <v>7.2</v>
      </c>
      <c r="F4" s="7">
        <v>30</v>
      </c>
      <c r="G4" s="7">
        <v>60</v>
      </c>
      <c r="H4" s="7">
        <v>82</v>
      </c>
      <c r="I4" s="9">
        <v>94</v>
      </c>
      <c r="J4" s="9">
        <v>90</v>
      </c>
    </row>
    <row r="5" spans="1:18">
      <c r="I5" s="5"/>
      <c r="J5" s="5"/>
      <c r="K5" s="5"/>
      <c r="L5" s="5"/>
      <c r="M5" s="5"/>
      <c r="N5" s="5"/>
      <c r="O5" s="10"/>
      <c r="P5" s="10"/>
      <c r="Q5" s="10"/>
      <c r="R5" s="5"/>
    </row>
    <row r="6" spans="1:18">
      <c r="I6" s="5"/>
      <c r="J6" s="5"/>
      <c r="K6" s="5"/>
      <c r="L6" s="5"/>
      <c r="M6" s="5"/>
      <c r="N6" s="5"/>
      <c r="O6" s="11"/>
      <c r="P6" s="12"/>
      <c r="Q6" s="5"/>
      <c r="R6" s="5"/>
    </row>
    <row r="7" spans="1:18">
      <c r="A7" s="45" t="s">
        <v>4</v>
      </c>
      <c r="B7" s="46"/>
      <c r="C7" s="46"/>
      <c r="D7" s="47"/>
      <c r="E7" s="3"/>
      <c r="F7" s="3"/>
      <c r="G7" s="3"/>
      <c r="H7" s="3"/>
      <c r="I7" s="5"/>
      <c r="J7" s="5"/>
      <c r="K7" s="5"/>
      <c r="L7" s="5"/>
      <c r="M7" s="5"/>
      <c r="N7" s="5"/>
      <c r="O7" s="11"/>
      <c r="P7" s="12"/>
      <c r="Q7" s="5"/>
      <c r="R7" s="5"/>
    </row>
    <row r="8" spans="1:18">
      <c r="I8" s="5"/>
      <c r="J8" s="5"/>
      <c r="K8" s="5"/>
      <c r="L8" s="5"/>
      <c r="M8" s="5"/>
      <c r="N8" s="5"/>
      <c r="O8" s="11"/>
      <c r="P8" s="12"/>
      <c r="Q8" s="5"/>
      <c r="R8" s="5"/>
    </row>
    <row r="9" spans="1:18"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11"/>
      <c r="P9" s="12"/>
      <c r="Q9" s="5"/>
      <c r="R9" s="5"/>
    </row>
    <row r="10" spans="1:18">
      <c r="D10" s="5"/>
      <c r="E10" s="5"/>
      <c r="F10" s="10"/>
      <c r="G10" s="10"/>
      <c r="H10" s="10"/>
      <c r="I10" s="5"/>
      <c r="J10" s="5"/>
      <c r="K10" s="5"/>
      <c r="L10" s="5"/>
      <c r="M10" s="5"/>
      <c r="N10" s="5"/>
      <c r="O10" s="11"/>
      <c r="P10" s="12"/>
      <c r="Q10" s="5"/>
      <c r="R10" s="5"/>
    </row>
    <row r="11" spans="1:18">
      <c r="D11" s="5"/>
      <c r="E11" s="5"/>
      <c r="F11" s="11"/>
      <c r="G11" s="5"/>
      <c r="H11" s="5"/>
      <c r="I11" s="5"/>
      <c r="J11" s="10"/>
      <c r="K11" s="10"/>
      <c r="L11" s="10"/>
      <c r="M11" s="5"/>
      <c r="N11" s="5"/>
      <c r="O11" s="11"/>
      <c r="P11" s="12"/>
      <c r="Q11" s="5"/>
      <c r="R11" s="5"/>
    </row>
    <row r="12" spans="1:18">
      <c r="D12" s="5"/>
      <c r="E12" s="5"/>
      <c r="F12" s="11"/>
      <c r="G12" s="5"/>
      <c r="H12" s="5"/>
      <c r="I12" s="5"/>
      <c r="J12" s="11"/>
      <c r="K12" s="12"/>
      <c r="L12" s="5"/>
      <c r="M12" s="5"/>
      <c r="N12" s="5"/>
      <c r="O12" s="11"/>
      <c r="P12" s="12"/>
      <c r="Q12" s="5"/>
      <c r="R12" s="5"/>
    </row>
    <row r="13" spans="1:18">
      <c r="D13" s="5"/>
      <c r="E13" s="5"/>
      <c r="F13" s="11"/>
      <c r="G13" s="5"/>
      <c r="H13" s="5"/>
      <c r="I13" s="5"/>
      <c r="J13" s="11"/>
      <c r="K13" s="12"/>
      <c r="L13" s="5"/>
      <c r="M13" s="5"/>
      <c r="N13" s="5"/>
      <c r="O13" s="11"/>
      <c r="P13" s="12"/>
      <c r="Q13" s="5"/>
      <c r="R13" s="5"/>
    </row>
    <row r="14" spans="1:18">
      <c r="D14" s="5"/>
      <c r="E14" s="5"/>
      <c r="F14" s="11"/>
      <c r="G14" s="5"/>
      <c r="H14" s="5"/>
      <c r="I14" s="5"/>
      <c r="J14" s="11"/>
      <c r="K14" s="12"/>
      <c r="L14" s="5"/>
      <c r="M14" s="5"/>
      <c r="N14" s="5"/>
      <c r="O14" s="11"/>
      <c r="P14" s="12"/>
      <c r="Q14" s="5"/>
      <c r="R14" s="5"/>
    </row>
    <row r="15" spans="1:18">
      <c r="D15" s="5"/>
      <c r="E15" s="5"/>
      <c r="F15" s="11"/>
      <c r="G15" s="5"/>
      <c r="H15" s="5"/>
      <c r="I15" s="5"/>
      <c r="J15" s="11"/>
      <c r="K15" s="12"/>
      <c r="L15" s="5"/>
      <c r="M15" s="5"/>
      <c r="N15" s="5"/>
      <c r="O15" s="5"/>
      <c r="P15" s="5"/>
      <c r="Q15" s="5"/>
      <c r="R15" s="5"/>
    </row>
    <row r="16" spans="1:18">
      <c r="D16" s="5"/>
      <c r="E16" s="5"/>
      <c r="F16" s="11"/>
      <c r="G16" s="5"/>
      <c r="H16" s="5"/>
      <c r="I16" s="5"/>
      <c r="J16" s="11"/>
      <c r="K16" s="12"/>
      <c r="L16" s="5"/>
      <c r="M16" s="5"/>
      <c r="N16" s="5"/>
      <c r="O16" s="5"/>
      <c r="P16" s="5"/>
      <c r="Q16" s="5"/>
      <c r="R16" s="5"/>
    </row>
    <row r="17" spans="4:18">
      <c r="D17" s="5"/>
      <c r="E17" s="5"/>
      <c r="F17" s="11"/>
      <c r="G17" s="5"/>
      <c r="H17" s="5"/>
      <c r="I17" s="5"/>
      <c r="J17" s="11"/>
      <c r="K17" s="12"/>
      <c r="L17" s="5"/>
      <c r="M17" s="5"/>
      <c r="N17" s="5"/>
      <c r="O17" s="5"/>
      <c r="P17" s="5"/>
      <c r="Q17" s="5"/>
      <c r="R17" s="5"/>
    </row>
    <row r="18" spans="4:18">
      <c r="D18" s="5"/>
      <c r="E18" s="5"/>
      <c r="F18" s="11"/>
      <c r="G18" s="5"/>
      <c r="H18" s="5"/>
      <c r="I18" s="5"/>
      <c r="J18" s="11"/>
      <c r="K18" s="12"/>
      <c r="L18" s="5"/>
      <c r="M18" s="5"/>
      <c r="N18" s="5"/>
      <c r="O18" s="5"/>
      <c r="P18" s="5"/>
      <c r="Q18" s="5"/>
      <c r="R18" s="5"/>
    </row>
    <row r="19" spans="4:18">
      <c r="D19" s="5"/>
      <c r="E19" s="5"/>
      <c r="F19" s="11"/>
      <c r="G19" s="5"/>
      <c r="H19" s="5"/>
      <c r="I19" s="5"/>
      <c r="J19" s="11"/>
      <c r="K19" s="12"/>
      <c r="L19" s="5"/>
      <c r="M19" s="5"/>
      <c r="N19" s="5"/>
      <c r="O19" s="5"/>
      <c r="P19" s="5"/>
      <c r="Q19" s="5"/>
      <c r="R19" s="5"/>
    </row>
    <row r="20" spans="4:18">
      <c r="D20" s="5"/>
      <c r="E20" s="5"/>
      <c r="F20" s="5"/>
      <c r="G20" s="5"/>
      <c r="H20" s="5"/>
      <c r="I20" s="5"/>
      <c r="J20" s="11"/>
      <c r="K20" s="12"/>
      <c r="L20" s="5"/>
      <c r="M20" s="5"/>
      <c r="N20" s="5"/>
      <c r="O20" s="5"/>
      <c r="P20" s="5"/>
      <c r="Q20" s="5"/>
      <c r="R20" s="5"/>
    </row>
    <row r="21" spans="4:18"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4:18"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4:18"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4:18"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4:18">
      <c r="I25" s="5"/>
      <c r="J25" s="5"/>
      <c r="K25" s="5"/>
      <c r="L25" s="5"/>
      <c r="M25" s="5"/>
      <c r="N25" s="5"/>
      <c r="O25" s="5"/>
      <c r="P25" s="5"/>
      <c r="Q25" s="5"/>
      <c r="R25" s="5"/>
    </row>
  </sheetData>
  <sortState xmlns:xlrd2="http://schemas.microsoft.com/office/spreadsheetml/2017/richdata2" ref="C7:D15">
    <sortCondition sortBy="icon" ref="C7:C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BFE9-A42E-4BCF-ABF8-1D99E222F645}">
  <dimension ref="A2:S41"/>
  <sheetViews>
    <sheetView zoomScale="70" zoomScaleNormal="70" workbookViewId="0">
      <selection activeCell="M2" sqref="M2"/>
    </sheetView>
  </sheetViews>
  <sheetFormatPr defaultRowHeight="14.4"/>
  <cols>
    <col min="1" max="1" width="12" customWidth="1"/>
    <col min="2" max="2" width="10.44140625" customWidth="1"/>
    <col min="3" max="3" width="22.6640625" customWidth="1"/>
    <col min="4" max="4" width="19.21875" customWidth="1"/>
    <col min="5" max="5" width="21" customWidth="1"/>
    <col min="7" max="7" width="16.6640625" customWidth="1"/>
    <col min="10" max="10" width="11" customWidth="1"/>
    <col min="11" max="11" width="11.77734375" customWidth="1"/>
    <col min="12" max="12" width="10" customWidth="1"/>
    <col min="13" max="13" width="20.21875" customWidth="1"/>
    <col min="14" max="14" width="11.5546875" customWidth="1"/>
    <col min="15" max="15" width="13.6640625" customWidth="1"/>
    <col min="16" max="16" width="13.21875" customWidth="1"/>
    <col min="17" max="17" width="14.33203125" customWidth="1"/>
    <col min="18" max="18" width="16.21875" customWidth="1"/>
    <col min="19" max="19" width="15.21875" customWidth="1"/>
  </cols>
  <sheetData>
    <row r="2" spans="1:19" ht="26.4">
      <c r="A2" s="16" t="s">
        <v>5</v>
      </c>
      <c r="B2" s="17" t="s">
        <v>3</v>
      </c>
      <c r="C2" s="17" t="s">
        <v>7</v>
      </c>
      <c r="D2" s="17" t="s">
        <v>8</v>
      </c>
      <c r="E2" s="17" t="s">
        <v>9</v>
      </c>
      <c r="F2" s="18" t="s">
        <v>10</v>
      </c>
      <c r="G2" s="19" t="s">
        <v>64</v>
      </c>
      <c r="H2" s="19" t="s">
        <v>14</v>
      </c>
      <c r="I2" s="19" t="s">
        <v>74</v>
      </c>
      <c r="J2" s="19" t="s">
        <v>65</v>
      </c>
      <c r="K2" s="19" t="s">
        <v>66</v>
      </c>
      <c r="L2" s="20" t="s">
        <v>75</v>
      </c>
      <c r="M2" s="19" t="s">
        <v>19</v>
      </c>
      <c r="N2" s="19" t="s">
        <v>20</v>
      </c>
      <c r="O2" s="19" t="s">
        <v>21</v>
      </c>
      <c r="P2" s="19" t="s">
        <v>22</v>
      </c>
      <c r="Q2" s="19" t="s">
        <v>23</v>
      </c>
      <c r="R2" s="19" t="s">
        <v>24</v>
      </c>
      <c r="S2" s="20" t="s">
        <v>25</v>
      </c>
    </row>
    <row r="3" spans="1:19">
      <c r="A3" s="21" t="s">
        <v>6</v>
      </c>
      <c r="B3" s="21" t="s">
        <v>0</v>
      </c>
      <c r="C3" s="21" t="s">
        <v>12</v>
      </c>
      <c r="D3" s="22">
        <v>46027.333333333336</v>
      </c>
      <c r="E3" s="22">
        <v>46029.333333333336</v>
      </c>
      <c r="F3" s="23" t="s">
        <v>11</v>
      </c>
      <c r="G3" s="21">
        <v>37</v>
      </c>
      <c r="H3" s="21">
        <v>7.1</v>
      </c>
      <c r="I3" s="21">
        <v>45</v>
      </c>
      <c r="J3" s="21">
        <v>85</v>
      </c>
      <c r="K3" s="21">
        <v>97</v>
      </c>
      <c r="L3" s="23">
        <v>93</v>
      </c>
      <c r="M3" s="24" t="str">
        <f>IF(AND(G3&gt;=VLOOKUP($B3,SPECS_LIMITS!$A$2:$J$4,2,FALSE),G3&lt;=VLOOKUP($B3,SPECS_LIMITS!$A$2:$J$4,3,FALSE)),"PASS","FAIL")</f>
        <v>PASS</v>
      </c>
      <c r="N3" s="24" t="str">
        <f>IF(AND(H3&gt;=VLOOKUP($B3,SPECS_LIMITS!$A$2:$J$4,4,FALSE),H3&lt;=VLOOKUP($B3,SPECS_LIMITS!$A$2:$J$4,5,FALSE)),"PASS","FAIL")</f>
        <v>PASS</v>
      </c>
      <c r="O3" s="24" t="str">
        <f>IF(AND(I3&gt;=VLOOKUP($B3,SPECS_LIMITS!$A$2:$J$4,6,FALSE),I3&lt;=VLOOKUP($B3,SPECS_LIMITS!$A$2:$J$4,7,FALSE)),"PASS","FAIL")</f>
        <v>PASS</v>
      </c>
      <c r="P3" s="24" t="str">
        <f>IF(J3&gt;=VLOOKUP($B3,SPECS_LIMITS!$A$2:$J$4,8,FALSE),"PASS","FAIL")</f>
        <v>PASS</v>
      </c>
      <c r="Q3" s="24" t="str">
        <f>IF(K3&gt;=VLOOKUP($B3,SPECS_LIMITS!$A$2:$J$4,9,FALSE),"PASS","FAIL")</f>
        <v>PASS</v>
      </c>
      <c r="R3" s="24" t="str">
        <f>IF(L3&gt;=VLOOKUP($B3,SPECS_LIMITS!$A$2:$J$4,10,FALSE),"PASS","FAIL")</f>
        <v>PASS</v>
      </c>
      <c r="S3" s="24" t="str">
        <f t="shared" ref="S3:S17" si="0">IF(COUNTIF(M3:R3,"FAIL")&gt;0,"FAIL","PASS")</f>
        <v>PASS</v>
      </c>
    </row>
    <row r="4" spans="1:19">
      <c r="A4" s="21" t="s">
        <v>26</v>
      </c>
      <c r="B4" s="21" t="s">
        <v>1</v>
      </c>
      <c r="C4" s="21" t="s">
        <v>27</v>
      </c>
      <c r="D4" s="22">
        <v>46030.333333333336</v>
      </c>
      <c r="E4" s="22">
        <v>46032.333333333336</v>
      </c>
      <c r="F4" s="23" t="s">
        <v>11</v>
      </c>
      <c r="G4" s="21">
        <v>37.200000000000003</v>
      </c>
      <c r="H4" s="21">
        <v>7.05</v>
      </c>
      <c r="I4" s="21">
        <v>48</v>
      </c>
      <c r="J4" s="21">
        <v>86.2</v>
      </c>
      <c r="K4" s="21">
        <v>96.7</v>
      </c>
      <c r="L4" s="23">
        <v>92.4</v>
      </c>
      <c r="M4" s="21" t="str">
        <f>IF(AND(G4&gt;=VLOOKUP($B4,SPECS_LIMITS!$A$2:$J$4,2,FALSE),G4&lt;=VLOOKUP($B4,SPECS_LIMITS!$A$2:$J$4,3,FALSE)),"PASS","FAIL")</f>
        <v>PASS</v>
      </c>
      <c r="N4" s="21" t="str">
        <f>IF(AND(H4&gt;=VLOOKUP($B4,SPECS_LIMITS!$A$2:$J$4,4,FALSE),H4&lt;=VLOOKUP($B4,SPECS_LIMITS!$A$2:$J$4,5,FALSE)),"PASS","FAIL")</f>
        <v>PASS</v>
      </c>
      <c r="O4" s="21" t="str">
        <f>IF(AND(I4&gt;=VLOOKUP($B4,SPECS_LIMITS!$A$2:$J$4,6,FALSE),I4&lt;=VLOOKUP($B4,SPECS_LIMITS!$A$2:$J$4,7,FALSE)),"PASS","FAIL")</f>
        <v>PASS</v>
      </c>
      <c r="P4" s="21" t="str">
        <f>IF(J4&gt;=VLOOKUP($B4,SPECS_LIMITS!$A$2:$J$4,8,FALSE),"PASS","FAIL")</f>
        <v>PASS</v>
      </c>
      <c r="Q4" s="21" t="str">
        <f>IF(K4&gt;=VLOOKUP($B4,SPECS_LIMITS!$A$2:$J$4,9,FALSE),"PASS","FAIL")</f>
        <v>PASS</v>
      </c>
      <c r="R4" s="21" t="str">
        <f>IF(L4&gt;=VLOOKUP($B4,SPECS_LIMITS!$A$2:$J$4,10,FALSE),"PASS","FAIL")</f>
        <v>PASS</v>
      </c>
      <c r="S4" s="21" t="str">
        <f t="shared" si="0"/>
        <v>PASS</v>
      </c>
    </row>
    <row r="5" spans="1:19">
      <c r="A5" s="21" t="s">
        <v>28</v>
      </c>
      <c r="B5" s="21" t="s">
        <v>2</v>
      </c>
      <c r="C5" s="21" t="s">
        <v>12</v>
      </c>
      <c r="D5" s="22">
        <v>46033.833333333336</v>
      </c>
      <c r="E5" s="22">
        <v>46035.833333333336</v>
      </c>
      <c r="F5" s="23" t="s">
        <v>29</v>
      </c>
      <c r="G5" s="21">
        <v>36.4</v>
      </c>
      <c r="H5" s="21">
        <v>6.95</v>
      </c>
      <c r="I5" s="21">
        <v>42</v>
      </c>
      <c r="J5" s="21">
        <v>84.1</v>
      </c>
      <c r="K5" s="21">
        <v>95.5</v>
      </c>
      <c r="L5" s="23">
        <v>91.6</v>
      </c>
      <c r="M5" s="21" t="str">
        <f>IF(AND(G5&gt;=VLOOKUP($B5,SPECS_LIMITS!$A$2:$J$4,2,FALSE),G5&lt;=VLOOKUP($B5,SPECS_LIMITS!$A$2:$J$4,3,FALSE)),"PASS","FAIL")</f>
        <v>PASS</v>
      </c>
      <c r="N5" s="21" t="str">
        <f>IF(AND(H5&gt;=VLOOKUP($B5,SPECS_LIMITS!$A$2:$J$4,4,FALSE),H5&lt;=VLOOKUP($B5,SPECS_LIMITS!$A$2:$J$4,5,FALSE)),"PASS","FAIL")</f>
        <v>PASS</v>
      </c>
      <c r="O5" s="21" t="str">
        <f>IF(AND(I5&gt;=VLOOKUP($B5,SPECS_LIMITS!$A$2:$J$4,6,FALSE),I5&lt;=VLOOKUP($B5,SPECS_LIMITS!$A$2:$J$4,7,FALSE)),"PASS","FAIL")</f>
        <v>PASS</v>
      </c>
      <c r="P5" s="21" t="str">
        <f>IF(J5&gt;=VLOOKUP($B5,SPECS_LIMITS!$A$2:$J$4,8,FALSE),"PASS","FAIL")</f>
        <v>PASS</v>
      </c>
      <c r="Q5" s="21" t="str">
        <f>IF(K5&gt;=VLOOKUP($B5,SPECS_LIMITS!$A$2:$J$4,9,FALSE),"PASS","FAIL")</f>
        <v>PASS</v>
      </c>
      <c r="R5" s="21" t="str">
        <f>IF(L5&gt;=VLOOKUP($B5,SPECS_LIMITS!$A$2:$J$4,10,FALSE),"PASS","FAIL")</f>
        <v>PASS</v>
      </c>
      <c r="S5" s="21" t="str">
        <f t="shared" si="0"/>
        <v>PASS</v>
      </c>
    </row>
    <row r="6" spans="1:19">
      <c r="A6" s="21" t="s">
        <v>30</v>
      </c>
      <c r="B6" s="21" t="s">
        <v>0</v>
      </c>
      <c r="C6" s="21" t="s">
        <v>27</v>
      </c>
      <c r="D6" s="22">
        <v>46036.333333333336</v>
      </c>
      <c r="E6" s="22">
        <v>46038.333333333336</v>
      </c>
      <c r="F6" s="23" t="s">
        <v>11</v>
      </c>
      <c r="G6" s="21">
        <v>36.799999999999997</v>
      </c>
      <c r="H6" s="21">
        <v>7.18</v>
      </c>
      <c r="I6" s="21">
        <v>55</v>
      </c>
      <c r="J6" s="21">
        <v>87.3</v>
      </c>
      <c r="K6" s="21">
        <v>97.4</v>
      </c>
      <c r="L6" s="23">
        <v>94.2</v>
      </c>
      <c r="M6" s="21" t="str">
        <f>IF(AND(G6&gt;=VLOOKUP($B6,SPECS_LIMITS!$A$2:$J$4,2,FALSE),G6&lt;=VLOOKUP($B6,SPECS_LIMITS!$A$2:$J$4,3,FALSE)),"PASS","FAIL")</f>
        <v>PASS</v>
      </c>
      <c r="N6" s="21" t="str">
        <f>IF(AND(H6&gt;=VLOOKUP($B6,SPECS_LIMITS!$A$2:$J$4,4,FALSE),H6&lt;=VLOOKUP($B6,SPECS_LIMITS!$A$2:$J$4,5,FALSE)),"PASS","FAIL")</f>
        <v>PASS</v>
      </c>
      <c r="O6" s="21" t="str">
        <f>IF(AND(I6&gt;=VLOOKUP($B6,SPECS_LIMITS!$A$2:$J$4,6,FALSE),I6&lt;=VLOOKUP($B6,SPECS_LIMITS!$A$2:$J$4,7,FALSE)),"PASS","FAIL")</f>
        <v>PASS</v>
      </c>
      <c r="P6" s="21" t="str">
        <f>IF(J6&gt;=VLOOKUP($B6,SPECS_LIMITS!$A$2:$J$4,8,FALSE),"PASS","FAIL")</f>
        <v>PASS</v>
      </c>
      <c r="Q6" s="21" t="str">
        <f>IF(K6&gt;=VLOOKUP($B6,SPECS_LIMITS!$A$2:$J$4,9,FALSE),"PASS","FAIL")</f>
        <v>PASS</v>
      </c>
      <c r="R6" s="21" t="str">
        <f>IF(L6&gt;=VLOOKUP($B6,SPECS_LIMITS!$A$2:$J$4,10,FALSE),"PASS","FAIL")</f>
        <v>PASS</v>
      </c>
      <c r="S6" s="21" t="str">
        <f t="shared" si="0"/>
        <v>PASS</v>
      </c>
    </row>
    <row r="7" spans="1:19">
      <c r="A7" s="21" t="s">
        <v>31</v>
      </c>
      <c r="B7" s="21" t="s">
        <v>1</v>
      </c>
      <c r="C7" s="21" t="s">
        <v>12</v>
      </c>
      <c r="D7" s="22">
        <v>46039.833333333336</v>
      </c>
      <c r="E7" s="22">
        <v>46041.833333333336</v>
      </c>
      <c r="F7" s="23" t="s">
        <v>29</v>
      </c>
      <c r="G7" s="21">
        <v>37.6</v>
      </c>
      <c r="H7" s="21">
        <v>6.97</v>
      </c>
      <c r="I7" s="21">
        <v>34</v>
      </c>
      <c r="J7" s="21">
        <v>84.8</v>
      </c>
      <c r="K7" s="21">
        <v>95.8</v>
      </c>
      <c r="L7" s="23">
        <v>90.7</v>
      </c>
      <c r="M7" s="21" t="str">
        <f>IF(AND(G7&gt;=VLOOKUP($B7,SPECS_LIMITS!$A$2:$J$4,2,FALSE),G7&lt;=VLOOKUP($B7,SPECS_LIMITS!$A$2:$J$4,3,FALSE)),"PASS","FAIL")</f>
        <v>PASS</v>
      </c>
      <c r="N7" s="21" t="str">
        <f>IF(AND(H7&gt;=VLOOKUP($B7,SPECS_LIMITS!$A$2:$J$4,4,FALSE),H7&lt;=VLOOKUP($B7,SPECS_LIMITS!$A$2:$J$4,5,FALSE)),"PASS","FAIL")</f>
        <v>PASS</v>
      </c>
      <c r="O7" s="21" t="str">
        <f>IF(AND(I7&gt;=VLOOKUP($B7,SPECS_LIMITS!$A$2:$J$4,6,FALSE),I7&lt;=VLOOKUP($B7,SPECS_LIMITS!$A$2:$J$4,7,FALSE)),"PASS","FAIL")</f>
        <v>PASS</v>
      </c>
      <c r="P7" s="21" t="str">
        <f>IF(J7&gt;=VLOOKUP($B7,SPECS_LIMITS!$A$2:$J$4,8,FALSE),"PASS","FAIL")</f>
        <v>PASS</v>
      </c>
      <c r="Q7" s="21" t="str">
        <f>IF(K7&gt;=VLOOKUP($B7,SPECS_LIMITS!$A$2:$J$4,9,FALSE),"PASS","FAIL")</f>
        <v>PASS</v>
      </c>
      <c r="R7" s="21" t="str">
        <f>IF(L7&gt;=VLOOKUP($B7,SPECS_LIMITS!$A$2:$J$4,10,FALSE),"PASS","FAIL")</f>
        <v>PASS</v>
      </c>
      <c r="S7" s="21" t="str">
        <f t="shared" si="0"/>
        <v>PASS</v>
      </c>
    </row>
    <row r="8" spans="1:19">
      <c r="A8" s="21" t="s">
        <v>32</v>
      </c>
      <c r="B8" s="21" t="s">
        <v>2</v>
      </c>
      <c r="C8" s="21" t="s">
        <v>27</v>
      </c>
      <c r="D8" s="22">
        <v>46042.333333333336</v>
      </c>
      <c r="E8" s="22">
        <v>46044.333333333336</v>
      </c>
      <c r="F8" s="23" t="s">
        <v>11</v>
      </c>
      <c r="G8" s="21">
        <v>37.700000000000003</v>
      </c>
      <c r="H8" s="21">
        <v>7.1</v>
      </c>
      <c r="I8" s="21">
        <v>51</v>
      </c>
      <c r="J8" s="21">
        <v>83.6</v>
      </c>
      <c r="K8" s="21">
        <v>94.8</v>
      </c>
      <c r="L8" s="23">
        <v>92.1</v>
      </c>
      <c r="M8" s="21" t="str">
        <f>IF(AND(G8&gt;=VLOOKUP($B8,SPECS_LIMITS!$A$2:$J$4,2,FALSE),G8&lt;=VLOOKUP($B8,SPECS_LIMITS!$A$2:$J$4,3,FALSE)),"PASS","FAIL")</f>
        <v>FAIL</v>
      </c>
      <c r="N8" s="21" t="str">
        <f>IF(AND(H8&gt;=VLOOKUP($B8,SPECS_LIMITS!$A$2:$J$4,4,FALSE),H8&lt;=VLOOKUP($B8,SPECS_LIMITS!$A$2:$J$4,5,FALSE)),"PASS","FAIL")</f>
        <v>PASS</v>
      </c>
      <c r="O8" s="21" t="str">
        <f>IF(AND(I8&gt;=VLOOKUP($B8,SPECS_LIMITS!$A$2:$J$4,6,FALSE),I8&lt;=VLOOKUP($B8,SPECS_LIMITS!$A$2:$J$4,7,FALSE)),"PASS","FAIL")</f>
        <v>PASS</v>
      </c>
      <c r="P8" s="21" t="str">
        <f>IF(J8&gt;=VLOOKUP($B8,SPECS_LIMITS!$A$2:$J$4,8,FALSE),"PASS","FAIL")</f>
        <v>PASS</v>
      </c>
      <c r="Q8" s="21" t="str">
        <f>IF(K8&gt;=VLOOKUP($B8,SPECS_LIMITS!$A$2:$J$4,9,FALSE),"PASS","FAIL")</f>
        <v>PASS</v>
      </c>
      <c r="R8" s="21" t="str">
        <f>IF(L8&gt;=VLOOKUP($B8,SPECS_LIMITS!$A$2:$J$4,10,FALSE),"PASS","FAIL")</f>
        <v>PASS</v>
      </c>
      <c r="S8" s="21" t="str">
        <f t="shared" si="0"/>
        <v>FAIL</v>
      </c>
    </row>
    <row r="9" spans="1:19">
      <c r="A9" s="21" t="s">
        <v>33</v>
      </c>
      <c r="B9" s="21" t="s">
        <v>0</v>
      </c>
      <c r="C9" s="21" t="s">
        <v>12</v>
      </c>
      <c r="D9" s="22">
        <v>46045.833333333336</v>
      </c>
      <c r="E9" s="22">
        <v>46047.833333333336</v>
      </c>
      <c r="F9" s="23" t="s">
        <v>29</v>
      </c>
      <c r="G9" s="21">
        <v>36.299999999999997</v>
      </c>
      <c r="H9" s="21">
        <v>6.92</v>
      </c>
      <c r="I9" s="21">
        <v>38</v>
      </c>
      <c r="J9" s="21">
        <v>84.4</v>
      </c>
      <c r="K9" s="21">
        <v>96.1</v>
      </c>
      <c r="L9" s="23">
        <v>91.3</v>
      </c>
      <c r="M9" s="21" t="str">
        <f>IF(AND(G9&gt;=VLOOKUP($B9,SPECS_LIMITS!$A$2:$J$4,2,FALSE),G9&lt;=VLOOKUP($B9,SPECS_LIMITS!$A$2:$J$4,3,FALSE)),"PASS","FAIL")</f>
        <v>PASS</v>
      </c>
      <c r="N9" s="21" t="str">
        <f>IF(AND(H9&gt;=VLOOKUP($B9,SPECS_LIMITS!$A$2:$J$4,4,FALSE),H9&lt;=VLOOKUP($B9,SPECS_LIMITS!$A$2:$J$4,5,FALSE)),"PASS","FAIL")</f>
        <v>PASS</v>
      </c>
      <c r="O9" s="21" t="str">
        <f>IF(AND(I9&gt;=VLOOKUP($B9,SPECS_LIMITS!$A$2:$J$4,6,FALSE),I9&lt;=VLOOKUP($B9,SPECS_LIMITS!$A$2:$J$4,7,FALSE)),"PASS","FAIL")</f>
        <v>PASS</v>
      </c>
      <c r="P9" s="21" t="str">
        <f>IF(J9&gt;=VLOOKUP($B9,SPECS_LIMITS!$A$2:$J$4,8,FALSE),"PASS","FAIL")</f>
        <v>PASS</v>
      </c>
      <c r="Q9" s="21" t="str">
        <f>IF(K9&gt;=VLOOKUP($B9,SPECS_LIMITS!$A$2:$J$4,9,FALSE),"PASS","FAIL")</f>
        <v>PASS</v>
      </c>
      <c r="R9" s="21" t="str">
        <f>IF(L9&gt;=VLOOKUP($B9,SPECS_LIMITS!$A$2:$J$4,10,FALSE),"PASS","FAIL")</f>
        <v>PASS</v>
      </c>
      <c r="S9" s="21" t="str">
        <f t="shared" si="0"/>
        <v>PASS</v>
      </c>
    </row>
    <row r="10" spans="1:19">
      <c r="A10" s="21" t="s">
        <v>34</v>
      </c>
      <c r="B10" s="21" t="s">
        <v>1</v>
      </c>
      <c r="C10" s="21" t="s">
        <v>27</v>
      </c>
      <c r="D10" s="22">
        <v>46048.333333333336</v>
      </c>
      <c r="E10" s="22">
        <v>46050.333333333336</v>
      </c>
      <c r="F10" s="23" t="s">
        <v>11</v>
      </c>
      <c r="G10" s="21">
        <v>37.9</v>
      </c>
      <c r="H10" s="21">
        <v>7.28</v>
      </c>
      <c r="I10" s="21">
        <v>59</v>
      </c>
      <c r="J10" s="21">
        <v>88</v>
      </c>
      <c r="K10" s="21">
        <v>98</v>
      </c>
      <c r="L10" s="23">
        <v>95</v>
      </c>
      <c r="M10" s="21" t="str">
        <f>IF(AND(G10&gt;=VLOOKUP($B10,SPECS_LIMITS!$A$2:$J$4,2,FALSE),G10&lt;=VLOOKUP($B10,SPECS_LIMITS!$A$2:$J$4,3,FALSE)),"PASS","FAIL")</f>
        <v>PASS</v>
      </c>
      <c r="N10" s="21" t="str">
        <f>IF(AND(H10&gt;=VLOOKUP($B10,SPECS_LIMITS!$A$2:$J$4,4,FALSE),H10&lt;=VLOOKUP($B10,SPECS_LIMITS!$A$2:$J$4,5,FALSE)),"PASS","FAIL")</f>
        <v>PASS</v>
      </c>
      <c r="O10" s="21" t="str">
        <f>IF(AND(I10&gt;=VLOOKUP($B10,SPECS_LIMITS!$A$2:$J$4,6,FALSE),I10&lt;=VLOOKUP($B10,SPECS_LIMITS!$A$2:$J$4,7,FALSE)),"PASS","FAIL")</f>
        <v>PASS</v>
      </c>
      <c r="P10" s="21" t="str">
        <f>IF(J10&gt;=VLOOKUP($B10,SPECS_LIMITS!$A$2:$J$4,8,FALSE),"PASS","FAIL")</f>
        <v>PASS</v>
      </c>
      <c r="Q10" s="21" t="str">
        <f>IF(K10&gt;=VLOOKUP($B10,SPECS_LIMITS!$A$2:$J$4,9,FALSE),"PASS","FAIL")</f>
        <v>PASS</v>
      </c>
      <c r="R10" s="21" t="str">
        <f>IF(L10&gt;=VLOOKUP($B10,SPECS_LIMITS!$A$2:$J$4,10,FALSE),"PASS","FAIL")</f>
        <v>PASS</v>
      </c>
      <c r="S10" s="21" t="str">
        <f t="shared" si="0"/>
        <v>PASS</v>
      </c>
    </row>
    <row r="11" spans="1:19">
      <c r="A11" s="21" t="s">
        <v>35</v>
      </c>
      <c r="B11" s="21" t="s">
        <v>2</v>
      </c>
      <c r="C11" s="21" t="s">
        <v>12</v>
      </c>
      <c r="D11" s="22">
        <v>46051.833333333336</v>
      </c>
      <c r="E11" s="22">
        <v>46053.833333333336</v>
      </c>
      <c r="F11" s="23" t="s">
        <v>29</v>
      </c>
      <c r="G11" s="21">
        <v>35.700000000000003</v>
      </c>
      <c r="H11" s="21">
        <v>6.83</v>
      </c>
      <c r="I11" s="21">
        <v>31.5</v>
      </c>
      <c r="J11" s="21">
        <v>82.4</v>
      </c>
      <c r="K11" s="21">
        <v>94.2</v>
      </c>
      <c r="L11" s="23">
        <v>90.2</v>
      </c>
      <c r="M11" s="21" t="str">
        <f>IF(AND(G11&gt;=VLOOKUP($B11,SPECS_LIMITS!$A$2:$J$4,2,FALSE),G11&lt;=VLOOKUP($B11,SPECS_LIMITS!$A$2:$J$4,3,FALSE)),"PASS","FAIL")</f>
        <v>PASS</v>
      </c>
      <c r="N11" s="21" t="str">
        <f>IF(AND(H11&gt;=VLOOKUP($B11,SPECS_LIMITS!$A$2:$J$4,4,FALSE),H11&lt;=VLOOKUP($B11,SPECS_LIMITS!$A$2:$J$4,5,FALSE)),"PASS","FAIL")</f>
        <v>PASS</v>
      </c>
      <c r="O11" s="21" t="str">
        <f>IF(AND(I11&gt;=VLOOKUP($B11,SPECS_LIMITS!$A$2:$J$4,6,FALSE),I11&lt;=VLOOKUP($B11,SPECS_LIMITS!$A$2:$J$4,7,FALSE)),"PASS","FAIL")</f>
        <v>PASS</v>
      </c>
      <c r="P11" s="21" t="str">
        <f>IF(J11&gt;=VLOOKUP($B11,SPECS_LIMITS!$A$2:$J$4,8,FALSE),"PASS","FAIL")</f>
        <v>PASS</v>
      </c>
      <c r="Q11" s="21" t="str">
        <f>IF(K11&gt;=VLOOKUP($B11,SPECS_LIMITS!$A$2:$J$4,9,FALSE),"PASS","FAIL")</f>
        <v>PASS</v>
      </c>
      <c r="R11" s="21" t="str">
        <f>IF(L11&gt;=VLOOKUP($B11,SPECS_LIMITS!$A$2:$J$4,10,FALSE),"PASS","FAIL")</f>
        <v>PASS</v>
      </c>
      <c r="S11" s="21" t="str">
        <f t="shared" si="0"/>
        <v>PASS</v>
      </c>
    </row>
    <row r="12" spans="1:19">
      <c r="A12" s="21" t="s">
        <v>36</v>
      </c>
      <c r="B12" s="21" t="s">
        <v>0</v>
      </c>
      <c r="C12" s="21" t="s">
        <v>27</v>
      </c>
      <c r="D12" s="22">
        <v>46054.333333333336</v>
      </c>
      <c r="E12" s="22">
        <v>46056.333333333336</v>
      </c>
      <c r="F12" s="23" t="s">
        <v>11</v>
      </c>
      <c r="G12" s="21">
        <v>37.4</v>
      </c>
      <c r="H12" s="21">
        <v>7.12</v>
      </c>
      <c r="I12" s="21">
        <v>46</v>
      </c>
      <c r="J12" s="21">
        <v>86.5</v>
      </c>
      <c r="K12" s="21">
        <v>94.6</v>
      </c>
      <c r="L12" s="23">
        <v>93</v>
      </c>
      <c r="M12" s="21" t="str">
        <f>IF(AND(G12&gt;=VLOOKUP($B12,SPECS_LIMITS!$A$2:$J$4,2,FALSE),G12&lt;=VLOOKUP($B12,SPECS_LIMITS!$A$2:$J$4,3,FALSE)),"PASS","FAIL")</f>
        <v>PASS</v>
      </c>
      <c r="N12" s="21" t="str">
        <f>IF(AND(H12&gt;=VLOOKUP($B12,SPECS_LIMITS!$A$2:$J$4,4,FALSE),H12&lt;=VLOOKUP($B12,SPECS_LIMITS!$A$2:$J$4,5,FALSE)),"PASS","FAIL")</f>
        <v>PASS</v>
      </c>
      <c r="O12" s="21" t="str">
        <f>IF(AND(I12&gt;=VLOOKUP($B12,SPECS_LIMITS!$A$2:$J$4,6,FALSE),I12&lt;=VLOOKUP($B12,SPECS_LIMITS!$A$2:$J$4,7,FALSE)),"PASS","FAIL")</f>
        <v>PASS</v>
      </c>
      <c r="P12" s="21" t="str">
        <f>IF(J12&gt;=VLOOKUP($B12,SPECS_LIMITS!$A$2:$J$4,8,FALSE),"PASS","FAIL")</f>
        <v>PASS</v>
      </c>
      <c r="Q12" s="21" t="str">
        <f>IF(K12&gt;=VLOOKUP($B12,SPECS_LIMITS!$A$2:$J$4,9,FALSE),"PASS","FAIL")</f>
        <v>FAIL</v>
      </c>
      <c r="R12" s="21" t="str">
        <f>IF(L12&gt;=VLOOKUP($B12,SPECS_LIMITS!$A$2:$J$4,10,FALSE),"PASS","FAIL")</f>
        <v>PASS</v>
      </c>
      <c r="S12" s="21" t="str">
        <f t="shared" si="0"/>
        <v>FAIL</v>
      </c>
    </row>
    <row r="13" spans="1:19">
      <c r="A13" s="21" t="s">
        <v>37</v>
      </c>
      <c r="B13" s="21" t="s">
        <v>1</v>
      </c>
      <c r="C13" s="21" t="s">
        <v>12</v>
      </c>
      <c r="D13" s="22">
        <v>46057.833333333336</v>
      </c>
      <c r="E13" s="22">
        <v>46059.833333333336</v>
      </c>
      <c r="F13" s="23" t="s">
        <v>29</v>
      </c>
      <c r="G13" s="21">
        <v>36.6</v>
      </c>
      <c r="H13" s="21">
        <v>7.22</v>
      </c>
      <c r="I13" s="21">
        <v>53</v>
      </c>
      <c r="J13" s="21">
        <v>85.1</v>
      </c>
      <c r="K13" s="21">
        <v>96</v>
      </c>
      <c r="L13" s="23">
        <v>93.5</v>
      </c>
      <c r="M13" s="21" t="str">
        <f>IF(AND(G13&gt;=VLOOKUP($B13,SPECS_LIMITS!$A$2:$J$4,2,FALSE),G13&lt;=VLOOKUP($B13,SPECS_LIMITS!$A$2:$J$4,3,FALSE)),"PASS","FAIL")</f>
        <v>PASS</v>
      </c>
      <c r="N13" s="21" t="str">
        <f>IF(AND(H13&gt;=VLOOKUP($B13,SPECS_LIMITS!$A$2:$J$4,4,FALSE),H13&lt;=VLOOKUP($B13,SPECS_LIMITS!$A$2:$J$4,5,FALSE)),"PASS","FAIL")</f>
        <v>PASS</v>
      </c>
      <c r="O13" s="21" t="str">
        <f>IF(AND(I13&gt;=VLOOKUP($B13,SPECS_LIMITS!$A$2:$J$4,6,FALSE),I13&lt;=VLOOKUP($B13,SPECS_LIMITS!$A$2:$J$4,7,FALSE)),"PASS","FAIL")</f>
        <v>PASS</v>
      </c>
      <c r="P13" s="21" t="str">
        <f>IF(J13&gt;=VLOOKUP($B13,SPECS_LIMITS!$A$2:$J$4,8,FALSE),"PASS","FAIL")</f>
        <v>PASS</v>
      </c>
      <c r="Q13" s="21" t="str">
        <f>IF(K13&gt;=VLOOKUP($B13,SPECS_LIMITS!$A$2:$J$4,9,FALSE),"PASS","FAIL")</f>
        <v>PASS</v>
      </c>
      <c r="R13" s="21" t="str">
        <f>IF(L13&gt;=VLOOKUP($B13,SPECS_LIMITS!$A$2:$J$4,10,FALSE),"PASS","FAIL")</f>
        <v>PASS</v>
      </c>
      <c r="S13" s="21" t="str">
        <f t="shared" si="0"/>
        <v>PASS</v>
      </c>
    </row>
    <row r="14" spans="1:19">
      <c r="A14" s="21" t="s">
        <v>38</v>
      </c>
      <c r="B14" s="21" t="s">
        <v>2</v>
      </c>
      <c r="C14" s="21" t="s">
        <v>27</v>
      </c>
      <c r="D14" s="22">
        <v>46060.333333333336</v>
      </c>
      <c r="E14" s="22">
        <v>46062.333333333336</v>
      </c>
      <c r="F14" s="23" t="s">
        <v>11</v>
      </c>
      <c r="G14" s="21">
        <v>37.200000000000003</v>
      </c>
      <c r="H14" s="21">
        <v>7.18</v>
      </c>
      <c r="I14" s="21">
        <v>57</v>
      </c>
      <c r="J14" s="21">
        <v>86</v>
      </c>
      <c r="K14" s="21">
        <v>96.4</v>
      </c>
      <c r="L14" s="23">
        <v>94</v>
      </c>
      <c r="M14" s="21" t="str">
        <f>IF(AND(G14&gt;=VLOOKUP($B14,SPECS_LIMITS!$A$2:$J$4,2,FALSE),G14&lt;=VLOOKUP($B14,SPECS_LIMITS!$A$2:$J$4,3,FALSE)),"PASS","FAIL")</f>
        <v>PASS</v>
      </c>
      <c r="N14" s="21" t="str">
        <f>IF(AND(H14&gt;=VLOOKUP($B14,SPECS_LIMITS!$A$2:$J$4,4,FALSE),H14&lt;=VLOOKUP($B14,SPECS_LIMITS!$A$2:$J$4,5,FALSE)),"PASS","FAIL")</f>
        <v>PASS</v>
      </c>
      <c r="O14" s="21" t="str">
        <f>IF(AND(I14&gt;=VLOOKUP($B14,SPECS_LIMITS!$A$2:$J$4,6,FALSE),I14&lt;=VLOOKUP($B14,SPECS_LIMITS!$A$2:$J$4,7,FALSE)),"PASS","FAIL")</f>
        <v>PASS</v>
      </c>
      <c r="P14" s="21" t="str">
        <f>IF(J14&gt;=VLOOKUP($B14,SPECS_LIMITS!$A$2:$J$4,8,FALSE),"PASS","FAIL")</f>
        <v>PASS</v>
      </c>
      <c r="Q14" s="21" t="str">
        <f>IF(K14&gt;=VLOOKUP($B14,SPECS_LIMITS!$A$2:$J$4,9,FALSE),"PASS","FAIL")</f>
        <v>PASS</v>
      </c>
      <c r="R14" s="21" t="str">
        <f>IF(L14&gt;=VLOOKUP($B14,SPECS_LIMITS!$A$2:$J$4,10,FALSE),"PASS","FAIL")</f>
        <v>PASS</v>
      </c>
      <c r="S14" s="21" t="str">
        <f t="shared" si="0"/>
        <v>PASS</v>
      </c>
    </row>
    <row r="15" spans="1:19">
      <c r="A15" s="21" t="s">
        <v>39</v>
      </c>
      <c r="B15" s="21" t="s">
        <v>0</v>
      </c>
      <c r="C15" s="21" t="s">
        <v>12</v>
      </c>
      <c r="D15" s="22">
        <v>46063.833333333336</v>
      </c>
      <c r="E15" s="22">
        <v>46065.833333333336</v>
      </c>
      <c r="F15" s="23" t="s">
        <v>29</v>
      </c>
      <c r="G15" s="21">
        <v>36.9</v>
      </c>
      <c r="H15" s="21">
        <v>7.34</v>
      </c>
      <c r="I15" s="21">
        <v>44</v>
      </c>
      <c r="J15" s="21">
        <v>83.5</v>
      </c>
      <c r="K15" s="21">
        <v>95.2</v>
      </c>
      <c r="L15" s="23">
        <v>90.8</v>
      </c>
      <c r="M15" s="21" t="str">
        <f>IF(AND(G15&gt;=VLOOKUP($B15,SPECS_LIMITS!$A$2:$J$4,2,FALSE),G15&lt;=VLOOKUP($B15,SPECS_LIMITS!$A$2:$J$4,3,FALSE)),"PASS","FAIL")</f>
        <v>PASS</v>
      </c>
      <c r="N15" s="21" t="str">
        <f>IF(AND(H15&gt;=VLOOKUP($B15,SPECS_LIMITS!$A$2:$J$4,4,FALSE),H15&lt;=VLOOKUP($B15,SPECS_LIMITS!$A$2:$J$4,5,FALSE)),"PASS","FAIL")</f>
        <v>FAIL</v>
      </c>
      <c r="O15" s="21" t="str">
        <f>IF(AND(I15&gt;=VLOOKUP($B15,SPECS_LIMITS!$A$2:$J$4,6,FALSE),I15&lt;=VLOOKUP($B15,SPECS_LIMITS!$A$2:$J$4,7,FALSE)),"PASS","FAIL")</f>
        <v>PASS</v>
      </c>
      <c r="P15" s="21" t="str">
        <f>IF(J15&gt;=VLOOKUP($B15,SPECS_LIMITS!$A$2:$J$4,8,FALSE),"PASS","FAIL")</f>
        <v>PASS</v>
      </c>
      <c r="Q15" s="21" t="str">
        <f>IF(K15&gt;=VLOOKUP($B15,SPECS_LIMITS!$A$2:$J$4,9,FALSE),"PASS","FAIL")</f>
        <v>PASS</v>
      </c>
      <c r="R15" s="21" t="str">
        <f>IF(L15&gt;=VLOOKUP($B15,SPECS_LIMITS!$A$2:$J$4,10,FALSE),"PASS","FAIL")</f>
        <v>PASS</v>
      </c>
      <c r="S15" s="21" t="str">
        <f t="shared" si="0"/>
        <v>FAIL</v>
      </c>
    </row>
    <row r="16" spans="1:19">
      <c r="A16" s="21" t="s">
        <v>40</v>
      </c>
      <c r="B16" s="21" t="s">
        <v>1</v>
      </c>
      <c r="C16" s="21" t="s">
        <v>27</v>
      </c>
      <c r="D16" s="22">
        <v>46066.333333333336</v>
      </c>
      <c r="E16" s="22">
        <v>46068.333333333336</v>
      </c>
      <c r="F16" s="23" t="s">
        <v>11</v>
      </c>
      <c r="G16" s="21">
        <v>37.1</v>
      </c>
      <c r="H16" s="21">
        <v>6.91</v>
      </c>
      <c r="I16" s="21">
        <v>36</v>
      </c>
      <c r="J16" s="21">
        <v>84.2</v>
      </c>
      <c r="K16" s="21">
        <v>95.1</v>
      </c>
      <c r="L16" s="23">
        <v>90.1</v>
      </c>
      <c r="M16" s="21" t="str">
        <f>IF(AND(G16&gt;=VLOOKUP($B16,SPECS_LIMITS!$A$2:$J$4,2,FALSE),G16&lt;=VLOOKUP($B16,SPECS_LIMITS!$A$2:$J$4,3,FALSE)),"PASS","FAIL")</f>
        <v>PASS</v>
      </c>
      <c r="N16" s="21" t="str">
        <f>IF(AND(H16&gt;=VLOOKUP($B16,SPECS_LIMITS!$A$2:$J$4,4,FALSE),H16&lt;=VLOOKUP($B16,SPECS_LIMITS!$A$2:$J$4,5,FALSE)),"PASS","FAIL")</f>
        <v>PASS</v>
      </c>
      <c r="O16" s="21" t="str">
        <f>IF(AND(I16&gt;=VLOOKUP($B16,SPECS_LIMITS!$A$2:$J$4,6,FALSE),I16&lt;=VLOOKUP($B16,SPECS_LIMITS!$A$2:$J$4,7,FALSE)),"PASS","FAIL")</f>
        <v>PASS</v>
      </c>
      <c r="P16" s="21" t="str">
        <f>IF(J16&gt;=VLOOKUP($B16,SPECS_LIMITS!$A$2:$J$4,8,FALSE),"PASS","FAIL")</f>
        <v>PASS</v>
      </c>
      <c r="Q16" s="21" t="str">
        <f>IF(K16&gt;=VLOOKUP($B16,SPECS_LIMITS!$A$2:$J$4,9,FALSE),"PASS","FAIL")</f>
        <v>PASS</v>
      </c>
      <c r="R16" s="21" t="str">
        <f>IF(L16&gt;=VLOOKUP($B16,SPECS_LIMITS!$A$2:$J$4,10,FALSE),"PASS","FAIL")</f>
        <v>PASS</v>
      </c>
      <c r="S16" s="21" t="str">
        <f t="shared" si="0"/>
        <v>PASS</v>
      </c>
    </row>
    <row r="17" spans="1:19">
      <c r="A17" s="25" t="s">
        <v>41</v>
      </c>
      <c r="B17" s="25" t="s">
        <v>2</v>
      </c>
      <c r="C17" s="25" t="s">
        <v>12</v>
      </c>
      <c r="D17" s="26">
        <v>46069.833333333336</v>
      </c>
      <c r="E17" s="26">
        <v>46071.833333333336</v>
      </c>
      <c r="F17" s="27" t="s">
        <v>29</v>
      </c>
      <c r="G17" s="25">
        <v>36</v>
      </c>
      <c r="H17" s="25">
        <v>7</v>
      </c>
      <c r="I17" s="25">
        <v>49</v>
      </c>
      <c r="J17" s="25">
        <v>81.5</v>
      </c>
      <c r="K17" s="25">
        <v>95</v>
      </c>
      <c r="L17" s="27">
        <v>92.8</v>
      </c>
      <c r="M17" s="25" t="str">
        <f>IF(AND(G17&gt;=VLOOKUP($B17,SPECS_LIMITS!$A$2:$J$4,2,FALSE),G17&lt;=VLOOKUP($B17,SPECS_LIMITS!$A$2:$J$4,3,FALSE)),"PASS","FAIL")</f>
        <v>PASS</v>
      </c>
      <c r="N17" s="25" t="str">
        <f>IF(AND(H17&gt;=VLOOKUP($B17,SPECS_LIMITS!$A$2:$J$4,4,FALSE),H17&lt;=VLOOKUP($B17,SPECS_LIMITS!$A$2:$J$4,5,FALSE)),"PASS","FAIL")</f>
        <v>PASS</v>
      </c>
      <c r="O17" s="25" t="str">
        <f>IF(AND(I17&gt;=VLOOKUP($B17,SPECS_LIMITS!$A$2:$J$4,6,FALSE),I17&lt;=VLOOKUP($B17,SPECS_LIMITS!$A$2:$J$4,7,FALSE)),"PASS","FAIL")</f>
        <v>PASS</v>
      </c>
      <c r="P17" s="25" t="str">
        <f>IF(J17&gt;=VLOOKUP($B17,SPECS_LIMITS!$A$2:$J$4,8,FALSE),"PASS","FAIL")</f>
        <v>FAIL</v>
      </c>
      <c r="Q17" s="25" t="str">
        <f>IF(K17&gt;=VLOOKUP($B17,SPECS_LIMITS!$A$2:$J$4,9,FALSE),"PASS","FAIL")</f>
        <v>PASS</v>
      </c>
      <c r="R17" s="25" t="str">
        <f>IF(L17&gt;=VLOOKUP($B17,SPECS_LIMITS!$A$2:$J$4,10,FALSE),"PASS","FAIL")</f>
        <v>PASS</v>
      </c>
      <c r="S17" s="25" t="str">
        <f t="shared" si="0"/>
        <v>FAIL</v>
      </c>
    </row>
    <row r="18" spans="1:19">
      <c r="B18" s="5"/>
      <c r="C18" s="11"/>
      <c r="D18" s="5"/>
      <c r="E18" s="5"/>
      <c r="F18" s="11"/>
      <c r="G18" s="5"/>
      <c r="H18" s="11"/>
      <c r="I18" s="12"/>
      <c r="J18" s="5"/>
      <c r="K18" s="5"/>
    </row>
    <row r="19" spans="1:19">
      <c r="B19" s="5"/>
      <c r="C19" s="11"/>
      <c r="D19" s="5"/>
      <c r="E19" s="5"/>
      <c r="F19" s="5"/>
      <c r="G19" s="5"/>
      <c r="H19" s="5"/>
    </row>
    <row r="20" spans="1:19">
      <c r="B20" s="5"/>
      <c r="C20" s="11"/>
      <c r="D20" s="5"/>
      <c r="E20" s="5"/>
    </row>
    <row r="21" spans="1:19">
      <c r="B21" s="5"/>
      <c r="C21" s="11"/>
      <c r="D21" s="5"/>
      <c r="E21" s="5"/>
    </row>
    <row r="22" spans="1:19">
      <c r="B22" s="5"/>
      <c r="C22" s="5"/>
      <c r="D22" s="5"/>
      <c r="E22" s="5"/>
    </row>
    <row r="27" spans="1:19"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9">
      <c r="D28" s="12"/>
      <c r="E28" s="12"/>
      <c r="F28" s="12"/>
      <c r="G28" s="28"/>
      <c r="H28" s="28"/>
      <c r="I28" s="12"/>
      <c r="J28" s="12"/>
      <c r="K28" s="12"/>
      <c r="L28" s="12"/>
      <c r="M28" s="12"/>
      <c r="N28" s="12"/>
      <c r="O28" s="12"/>
    </row>
    <row r="29" spans="1:19">
      <c r="D29" s="12"/>
      <c r="E29" s="12"/>
      <c r="F29" s="12"/>
      <c r="G29" s="28"/>
      <c r="H29" s="28"/>
      <c r="I29" s="12"/>
      <c r="J29" s="12"/>
      <c r="K29" s="12"/>
      <c r="L29" s="12"/>
      <c r="M29" s="12"/>
      <c r="N29" s="12"/>
      <c r="O29" s="12"/>
    </row>
    <row r="30" spans="1:19">
      <c r="D30" s="12"/>
      <c r="E30" s="12"/>
      <c r="F30" s="12"/>
      <c r="G30" s="28"/>
      <c r="H30" s="28"/>
      <c r="I30" s="12"/>
      <c r="J30" s="12"/>
      <c r="K30" s="12"/>
      <c r="L30" s="12"/>
      <c r="M30" s="12"/>
      <c r="N30" s="12"/>
      <c r="O30" s="12"/>
    </row>
    <row r="31" spans="1:19">
      <c r="D31" s="12"/>
      <c r="E31" s="12"/>
      <c r="F31" s="12"/>
      <c r="G31" s="28"/>
      <c r="H31" s="28"/>
      <c r="I31" s="12"/>
      <c r="J31" s="12"/>
      <c r="K31" s="12"/>
      <c r="L31" s="12"/>
      <c r="M31" s="12"/>
      <c r="N31" s="12"/>
      <c r="O31" s="12"/>
    </row>
    <row r="32" spans="1:19">
      <c r="D32" s="12"/>
      <c r="E32" s="12"/>
      <c r="F32" s="12"/>
      <c r="G32" s="28"/>
      <c r="H32" s="28"/>
      <c r="I32" s="12"/>
      <c r="J32" s="12"/>
      <c r="K32" s="12"/>
      <c r="L32" s="12"/>
      <c r="M32" s="12"/>
      <c r="N32" s="12"/>
      <c r="O32" s="12"/>
    </row>
    <row r="33" spans="4:15">
      <c r="D33" s="12"/>
      <c r="E33" s="12"/>
      <c r="F33" s="12"/>
      <c r="G33" s="28"/>
      <c r="H33" s="28"/>
      <c r="I33" s="12"/>
      <c r="J33" s="12"/>
      <c r="K33" s="12"/>
      <c r="L33" s="12"/>
      <c r="M33" s="12"/>
      <c r="N33" s="12"/>
      <c r="O33" s="12"/>
    </row>
    <row r="34" spans="4:15">
      <c r="D34" s="12"/>
      <c r="E34" s="12"/>
      <c r="F34" s="12"/>
      <c r="G34" s="28"/>
      <c r="H34" s="28"/>
      <c r="I34" s="12"/>
      <c r="J34" s="12"/>
      <c r="K34" s="12"/>
      <c r="L34" s="12"/>
      <c r="M34" s="12"/>
      <c r="N34" s="12"/>
      <c r="O34" s="12"/>
    </row>
    <row r="35" spans="4:15">
      <c r="D35" s="12"/>
      <c r="E35" s="12"/>
      <c r="F35" s="12"/>
      <c r="G35" s="28"/>
      <c r="H35" s="28"/>
      <c r="I35" s="12"/>
      <c r="J35" s="12"/>
      <c r="K35" s="12"/>
      <c r="L35" s="12"/>
      <c r="M35" s="12"/>
      <c r="N35" s="12"/>
      <c r="O35" s="12"/>
    </row>
    <row r="36" spans="4:15">
      <c r="D36" s="12"/>
      <c r="E36" s="12"/>
      <c r="F36" s="12"/>
      <c r="G36" s="28"/>
      <c r="H36" s="28"/>
      <c r="I36" s="12"/>
      <c r="J36" s="12"/>
      <c r="K36" s="12"/>
      <c r="L36" s="12"/>
      <c r="M36" s="12"/>
      <c r="N36" s="12"/>
      <c r="O36" s="12"/>
    </row>
    <row r="37" spans="4:15">
      <c r="D37" s="12"/>
      <c r="E37" s="12"/>
      <c r="F37" s="12"/>
      <c r="G37" s="28"/>
      <c r="H37" s="28"/>
      <c r="I37" s="12"/>
      <c r="J37" s="12"/>
      <c r="K37" s="12"/>
      <c r="L37" s="12"/>
      <c r="M37" s="12"/>
      <c r="N37" s="12"/>
      <c r="O37" s="12"/>
    </row>
    <row r="38" spans="4:15">
      <c r="D38" s="12"/>
      <c r="E38" s="12"/>
      <c r="F38" s="12"/>
      <c r="G38" s="28"/>
      <c r="H38" s="28"/>
      <c r="I38" s="12"/>
      <c r="J38" s="12"/>
      <c r="K38" s="12"/>
      <c r="L38" s="12"/>
      <c r="M38" s="12"/>
      <c r="N38" s="12"/>
      <c r="O38" s="12"/>
    </row>
    <row r="39" spans="4:15">
      <c r="D39" s="12"/>
      <c r="E39" s="12"/>
      <c r="F39" s="12"/>
      <c r="G39" s="28"/>
      <c r="H39" s="28"/>
      <c r="I39" s="12"/>
      <c r="J39" s="12"/>
      <c r="K39" s="12"/>
      <c r="L39" s="12"/>
      <c r="M39" s="12"/>
      <c r="N39" s="12"/>
      <c r="O39" s="12"/>
    </row>
    <row r="40" spans="4:15">
      <c r="D40" s="12"/>
      <c r="E40" s="12"/>
      <c r="F40" s="12"/>
      <c r="G40" s="28"/>
      <c r="H40" s="28"/>
      <c r="I40" s="12"/>
      <c r="J40" s="12"/>
      <c r="K40" s="12"/>
      <c r="L40" s="12"/>
      <c r="M40" s="12"/>
      <c r="N40" s="12"/>
      <c r="O40" s="12"/>
    </row>
    <row r="41" spans="4:15">
      <c r="D41" s="12"/>
      <c r="E41" s="12"/>
      <c r="F41" s="12"/>
      <c r="G41" s="28"/>
      <c r="H41" s="28"/>
      <c r="I41" s="12"/>
      <c r="J41" s="12"/>
      <c r="K41" s="12"/>
      <c r="L41" s="12"/>
      <c r="M41" s="12"/>
      <c r="N41" s="12"/>
      <c r="O41" s="1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A81F6-C70F-41D1-9D56-7C7E864F0AD3}">
  <dimension ref="A1:R29"/>
  <sheetViews>
    <sheetView zoomScaleNormal="100" workbookViewId="0">
      <selection activeCell="B26" sqref="B26"/>
    </sheetView>
  </sheetViews>
  <sheetFormatPr defaultRowHeight="14.4"/>
  <cols>
    <col min="1" max="1" width="28.33203125" customWidth="1"/>
    <col min="2" max="2" width="9.21875" customWidth="1"/>
    <col min="4" max="4" width="14.77734375" customWidth="1"/>
    <col min="5" max="5" width="16.88671875" customWidth="1"/>
    <col min="6" max="6" width="14.44140625" customWidth="1"/>
    <col min="7" max="7" width="16.44140625" customWidth="1"/>
  </cols>
  <sheetData>
    <row r="1" spans="1:18">
      <c r="A1" s="34" t="s">
        <v>42</v>
      </c>
      <c r="D1" s="36" t="s">
        <v>55</v>
      </c>
      <c r="E1" s="36"/>
    </row>
    <row r="4" spans="1:18" ht="26.4">
      <c r="A4" s="30" t="s">
        <v>43</v>
      </c>
      <c r="B4" s="30" t="s">
        <v>44</v>
      </c>
      <c r="D4" s="32" t="s">
        <v>3</v>
      </c>
      <c r="E4" s="32" t="s">
        <v>45</v>
      </c>
      <c r="F4" s="32" t="s">
        <v>52</v>
      </c>
      <c r="G4" s="32" t="s">
        <v>53</v>
      </c>
      <c r="H4" s="32" t="s">
        <v>54</v>
      </c>
    </row>
    <row r="5" spans="1:18">
      <c r="A5" s="31" t="s">
        <v>45</v>
      </c>
      <c r="B5" s="4">
        <f>COUNTA(BatchData[Batch ID])</f>
        <v>15</v>
      </c>
      <c r="D5" s="15" t="s">
        <v>0</v>
      </c>
      <c r="E5" s="14">
        <f>COUNTIF(BatchData[Product],D5)</f>
        <v>5</v>
      </c>
      <c r="F5" s="14">
        <f>COUNTIFS(BatchData[Product],D5,BatchData[Overall Status],"PASS")</f>
        <v>3</v>
      </c>
      <c r="G5" s="14">
        <f>COUNTIFS(BatchData[Product],D5,BatchData[Overall Status],"FAIL")</f>
        <v>2</v>
      </c>
      <c r="H5" s="35">
        <f>F5/E5</f>
        <v>0.6</v>
      </c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>
      <c r="A6" s="31" t="s">
        <v>46</v>
      </c>
      <c r="B6" s="4">
        <f>COUNTIF(BatchData[Overall Status],"PASS")</f>
        <v>11</v>
      </c>
      <c r="D6" s="15" t="s">
        <v>1</v>
      </c>
      <c r="E6" s="14">
        <f>COUNTIF(BatchData[Product],D6)</f>
        <v>5</v>
      </c>
      <c r="F6" s="14">
        <f>COUNTIFS(BatchData[Product],D6,BatchData[Overall Status],"PASS")</f>
        <v>5</v>
      </c>
      <c r="G6" s="14">
        <f>COUNTIFS(BatchData[Product],D6,BatchData[Overall Status],"FAIL")</f>
        <v>0</v>
      </c>
      <c r="H6" s="35">
        <f t="shared" ref="H6:H7" si="0">F6/E6</f>
        <v>1</v>
      </c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>
      <c r="A7" s="31" t="s">
        <v>47</v>
      </c>
      <c r="B7" s="4">
        <f>COUNTIF(BatchData[Overall Status],"FAIL")</f>
        <v>4</v>
      </c>
      <c r="D7" s="15" t="s">
        <v>2</v>
      </c>
      <c r="E7" s="14">
        <f>COUNTIF(BatchData[Product],D7)</f>
        <v>5</v>
      </c>
      <c r="F7" s="14">
        <f>COUNTIFS(BatchData[Product],D7,BatchData[Overall Status],"PASS")</f>
        <v>3</v>
      </c>
      <c r="G7" s="14">
        <f>COUNTIFS(BatchData[Product],D7,BatchData[Overall Status],"FAIL")</f>
        <v>2</v>
      </c>
      <c r="H7" s="35">
        <f t="shared" si="0"/>
        <v>0.6</v>
      </c>
      <c r="I7" s="5"/>
      <c r="J7" s="10"/>
      <c r="K7" s="10"/>
      <c r="L7" s="5"/>
      <c r="M7" s="5"/>
      <c r="N7" s="5"/>
      <c r="O7" s="5"/>
      <c r="P7" s="5"/>
      <c r="Q7" s="5"/>
      <c r="R7" s="5"/>
    </row>
    <row r="8" spans="1:18">
      <c r="A8" s="31" t="s">
        <v>48</v>
      </c>
      <c r="B8" s="29">
        <f>(B6/B5)</f>
        <v>0.73333333333333328</v>
      </c>
      <c r="E8" s="5"/>
      <c r="F8" s="5"/>
      <c r="G8" s="11"/>
      <c r="H8" s="5"/>
      <c r="I8" s="5"/>
      <c r="J8" s="11"/>
      <c r="K8" s="5"/>
      <c r="L8" s="5"/>
      <c r="M8" s="5"/>
      <c r="N8" s="5"/>
      <c r="O8" s="5"/>
      <c r="P8" s="5"/>
      <c r="Q8" s="5"/>
      <c r="R8" s="5"/>
    </row>
    <row r="9" spans="1:18" ht="13.8" customHeight="1">
      <c r="A9" s="31" t="s">
        <v>61</v>
      </c>
      <c r="B9" s="42">
        <f>B7/B5</f>
        <v>0.26666666666666666</v>
      </c>
      <c r="E9" s="5"/>
      <c r="F9" s="5"/>
      <c r="G9" s="11"/>
      <c r="H9" s="5"/>
      <c r="I9" s="5"/>
      <c r="J9" s="11"/>
      <c r="K9" s="5"/>
      <c r="L9" s="5"/>
      <c r="M9" s="5"/>
      <c r="N9" s="5"/>
      <c r="O9" s="5"/>
      <c r="P9" s="5"/>
      <c r="Q9" s="5"/>
      <c r="R9" s="5"/>
    </row>
    <row r="10" spans="1:18" ht="12.6" customHeight="1">
      <c r="D10" s="37" t="s">
        <v>56</v>
      </c>
      <c r="E10" s="37"/>
      <c r="F10" s="10"/>
      <c r="G10" s="10"/>
      <c r="H10" s="5"/>
      <c r="I10" s="5"/>
      <c r="J10" s="11"/>
      <c r="K10" s="5"/>
      <c r="L10" s="5"/>
      <c r="M10" s="5"/>
      <c r="N10" s="5"/>
      <c r="O10" s="5"/>
      <c r="P10" s="5"/>
      <c r="Q10" s="5"/>
      <c r="R10" s="5"/>
    </row>
    <row r="11" spans="1:18">
      <c r="E11" s="5"/>
      <c r="F11" s="11"/>
      <c r="G11" s="5"/>
      <c r="H11" s="5"/>
      <c r="I11" s="5"/>
      <c r="J11" s="11"/>
      <c r="K11" s="5"/>
      <c r="L11" s="5"/>
      <c r="M11" s="5"/>
      <c r="N11" s="5"/>
      <c r="O11" s="5"/>
      <c r="P11" s="5"/>
      <c r="Q11" s="5"/>
      <c r="R11" s="5"/>
    </row>
    <row r="12" spans="1:18" ht="26.4">
      <c r="A12" s="33" t="s">
        <v>49</v>
      </c>
      <c r="D12" s="32" t="s">
        <v>7</v>
      </c>
      <c r="E12" s="32" t="s">
        <v>45</v>
      </c>
      <c r="F12" s="32" t="s">
        <v>52</v>
      </c>
      <c r="G12" s="32" t="s">
        <v>53</v>
      </c>
      <c r="H12" s="32" t="s">
        <v>54</v>
      </c>
      <c r="I12" s="5"/>
      <c r="J12" s="11"/>
      <c r="K12" s="5"/>
      <c r="L12" s="5"/>
      <c r="M12" s="5"/>
      <c r="N12" s="5"/>
      <c r="O12" s="5"/>
      <c r="P12" s="5"/>
      <c r="Q12" s="5"/>
      <c r="R12" s="5"/>
    </row>
    <row r="13" spans="1:18" ht="13.2" customHeight="1">
      <c r="D13" s="15" t="s">
        <v>12</v>
      </c>
      <c r="E13" s="4">
        <f>COUNTIF(BatchData[Production Line],D13)</f>
        <v>8</v>
      </c>
      <c r="F13" s="4">
        <f>COUNTIFS(BatchData[Production Line],D13,BatchData[Overall Status],"PASS")</f>
        <v>6</v>
      </c>
      <c r="G13" s="4">
        <f>COUNTIFS(BatchData[Production Line],D13,BatchData[Overall Status],"FAIL")</f>
        <v>2</v>
      </c>
      <c r="H13" s="38">
        <f>F13/E13</f>
        <v>0.75</v>
      </c>
      <c r="I13" s="5"/>
      <c r="J13" s="11"/>
      <c r="K13" s="5"/>
      <c r="L13" s="5"/>
      <c r="M13" s="5"/>
      <c r="N13" s="5"/>
      <c r="O13" s="5"/>
      <c r="P13" s="5"/>
      <c r="Q13" s="5"/>
      <c r="R13" s="5"/>
    </row>
    <row r="14" spans="1:18" ht="16.2" customHeight="1">
      <c r="A14" s="32" t="s">
        <v>50</v>
      </c>
      <c r="B14" s="32" t="s">
        <v>51</v>
      </c>
      <c r="D14" s="15" t="s">
        <v>27</v>
      </c>
      <c r="E14" s="4">
        <f>COUNTIF(BatchData[Production Line],D14)</f>
        <v>7</v>
      </c>
      <c r="F14" s="4">
        <f>COUNTIFS(BatchData[Production Line],D14,BatchData[Overall Status],"PASS")</f>
        <v>5</v>
      </c>
      <c r="G14" s="4">
        <f>COUNTIFS(BatchData[Production Line],D14,BatchData[Overall Status],"FAIL")</f>
        <v>2</v>
      </c>
      <c r="H14" s="38">
        <f>F14/E14</f>
        <v>0.7142857142857143</v>
      </c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ht="14.4" customHeight="1">
      <c r="A15" s="15" t="s">
        <v>13</v>
      </c>
      <c r="B15" s="14">
        <f>COUNTIF(BatchData[Temperature Status],"FAIL")</f>
        <v>1</v>
      </c>
      <c r="E15" s="5"/>
      <c r="F15" s="11"/>
      <c r="G15" s="5"/>
      <c r="H15" s="5"/>
      <c r="I15" s="5"/>
      <c r="J15" s="5"/>
      <c r="K15" s="10"/>
      <c r="L15" s="10"/>
      <c r="M15" s="5"/>
      <c r="N15" s="5"/>
      <c r="O15" s="5"/>
      <c r="P15" s="5"/>
      <c r="Q15" s="5"/>
      <c r="R15" s="5"/>
    </row>
    <row r="16" spans="1:18" ht="13.8" customHeight="1">
      <c r="A16" s="15" t="s">
        <v>14</v>
      </c>
      <c r="B16" s="14">
        <f>COUNTIF(BatchData[pH Status],"FAIL")</f>
        <v>1</v>
      </c>
      <c r="E16" s="5"/>
      <c r="F16" s="11"/>
      <c r="G16" s="5"/>
      <c r="H16" s="5"/>
      <c r="I16" s="5"/>
      <c r="J16" s="5"/>
      <c r="K16" s="11"/>
      <c r="L16" s="5"/>
      <c r="M16" s="5"/>
      <c r="N16" s="5"/>
      <c r="O16" s="5"/>
      <c r="P16" s="5"/>
      <c r="Q16" s="5"/>
      <c r="R16" s="5"/>
    </row>
    <row r="17" spans="1:18" ht="15" customHeight="1">
      <c r="A17" s="15" t="s">
        <v>15</v>
      </c>
      <c r="B17" s="14">
        <f>COUNTIF(BatchData[DO Status],"FAIL")</f>
        <v>0</v>
      </c>
      <c r="E17" s="5"/>
      <c r="F17" s="11"/>
      <c r="G17" s="5"/>
      <c r="H17" s="5"/>
      <c r="I17" s="5"/>
      <c r="J17" s="5"/>
      <c r="K17" s="11"/>
      <c r="L17" s="5"/>
      <c r="M17" s="5"/>
      <c r="N17" s="5"/>
      <c r="O17" s="5"/>
      <c r="P17" s="5"/>
      <c r="Q17" s="5"/>
      <c r="R17" s="5"/>
    </row>
    <row r="18" spans="1:18" ht="13.8" customHeight="1">
      <c r="A18" s="15" t="s">
        <v>16</v>
      </c>
      <c r="B18" s="14">
        <f>COUNTIF(BatchData[Yield Status],"FAIL")</f>
        <v>1</v>
      </c>
      <c r="E18" s="5"/>
      <c r="F18" s="11"/>
      <c r="G18" s="5"/>
      <c r="H18" s="5"/>
      <c r="I18" s="5"/>
      <c r="J18" s="5"/>
      <c r="K18" s="11"/>
      <c r="L18" s="5"/>
      <c r="M18" s="5"/>
      <c r="N18" s="5"/>
      <c r="O18" s="5"/>
      <c r="P18" s="5"/>
      <c r="Q18" s="5"/>
      <c r="R18" s="5"/>
    </row>
    <row r="19" spans="1:18">
      <c r="A19" s="15" t="s">
        <v>17</v>
      </c>
      <c r="B19" s="14">
        <f>COUNTIF(BatchData[Purity Status],"FAIL")</f>
        <v>1</v>
      </c>
      <c r="E19" s="5"/>
      <c r="H19" s="5"/>
      <c r="I19" s="5"/>
      <c r="J19" s="5"/>
      <c r="K19" s="11"/>
      <c r="L19" s="5"/>
      <c r="M19" s="5"/>
      <c r="N19" s="5"/>
      <c r="O19" s="5"/>
      <c r="P19" s="5"/>
      <c r="Q19" s="5"/>
      <c r="R19" s="5"/>
    </row>
    <row r="20" spans="1:18" ht="13.8" customHeight="1">
      <c r="A20" s="15" t="s">
        <v>18</v>
      </c>
      <c r="B20" s="14">
        <f>COUNTIF(BatchData[Potency Status],"FAIL")</f>
        <v>0</v>
      </c>
      <c r="H20" s="5"/>
      <c r="I20" s="10"/>
      <c r="J20" s="10"/>
      <c r="K20" s="11"/>
      <c r="L20" s="5"/>
      <c r="M20" s="5"/>
    </row>
    <row r="21" spans="1:18" ht="15" customHeight="1">
      <c r="C21" s="5"/>
      <c r="D21" s="41" t="s">
        <v>59</v>
      </c>
      <c r="E21" s="41"/>
      <c r="H21" s="5"/>
      <c r="I21" s="11"/>
      <c r="J21" s="5"/>
      <c r="K21" s="11"/>
      <c r="L21" s="5"/>
      <c r="M21" s="5"/>
    </row>
    <row r="22" spans="1:18">
      <c r="C22" s="5"/>
      <c r="D22" s="11"/>
      <c r="E22" s="5"/>
      <c r="H22" s="5"/>
      <c r="I22" s="11"/>
      <c r="J22" s="5"/>
      <c r="K22" s="5"/>
      <c r="L22" s="5"/>
      <c r="M22" s="5"/>
    </row>
    <row r="23" spans="1:18">
      <c r="A23" s="39" t="s">
        <v>57</v>
      </c>
      <c r="B23" s="10"/>
      <c r="C23" s="5"/>
      <c r="D23" s="32" t="s">
        <v>50</v>
      </c>
      <c r="E23" s="32" t="s">
        <v>58</v>
      </c>
      <c r="H23" s="5"/>
      <c r="I23" s="11"/>
      <c r="J23" s="5"/>
      <c r="K23" s="5"/>
      <c r="L23" s="5"/>
    </row>
    <row r="24" spans="1:18">
      <c r="A24" s="11"/>
      <c r="B24" s="5"/>
      <c r="C24" s="5"/>
      <c r="D24" s="15" t="s">
        <v>13</v>
      </c>
      <c r="E24" s="4">
        <f>AVERAGE(BatchData[Temperature (°C)])</f>
        <v>36.919999999999995</v>
      </c>
      <c r="H24" s="5"/>
      <c r="I24" s="11"/>
      <c r="J24" s="5"/>
      <c r="K24" s="5"/>
      <c r="L24" s="5"/>
    </row>
    <row r="25" spans="1:18">
      <c r="A25" s="32" t="s">
        <v>50</v>
      </c>
      <c r="B25" s="32" t="s">
        <v>58</v>
      </c>
      <c r="C25" s="5"/>
      <c r="D25" s="15" t="s">
        <v>14</v>
      </c>
      <c r="E25" s="40">
        <f>AVERAGE(BatchData[pH])</f>
        <v>7.0766666666666671</v>
      </c>
      <c r="H25" s="5"/>
      <c r="I25" s="11"/>
      <c r="J25" s="5"/>
      <c r="K25" s="5"/>
      <c r="L25" s="5"/>
    </row>
    <row r="26" spans="1:18">
      <c r="A26" s="15" t="s">
        <v>16</v>
      </c>
      <c r="B26" s="4">
        <f>AVERAGE(BatchData[Yield (%)])</f>
        <v>84.84</v>
      </c>
      <c r="C26" s="5"/>
      <c r="D26" s="15" t="s">
        <v>15</v>
      </c>
      <c r="E26" s="4">
        <f>AVERAGE(BatchData[DO (%)])</f>
        <v>45.9</v>
      </c>
      <c r="G26" s="5"/>
      <c r="H26" s="5"/>
      <c r="I26" s="11"/>
      <c r="J26" s="5"/>
      <c r="K26" s="5"/>
      <c r="L26" s="5"/>
    </row>
    <row r="27" spans="1:18">
      <c r="A27" s="15" t="s">
        <v>17</v>
      </c>
      <c r="B27" s="40">
        <f>AVERAGE(BatchData[Purity (%)])</f>
        <v>95.853333333333339</v>
      </c>
      <c r="C27" s="5"/>
      <c r="D27" s="5"/>
      <c r="E27" s="5"/>
      <c r="G27" s="5"/>
      <c r="H27" s="5"/>
      <c r="I27" s="5"/>
      <c r="J27" s="5"/>
      <c r="K27" s="5"/>
      <c r="L27" s="5"/>
    </row>
    <row r="28" spans="1:18">
      <c r="A28" s="15" t="s">
        <v>18</v>
      </c>
      <c r="B28" s="40">
        <f>AVERAGE(BatchData[Potency (%)])</f>
        <v>92.313333333333318</v>
      </c>
      <c r="C28" s="5"/>
      <c r="D28" s="5"/>
      <c r="E28" s="5"/>
    </row>
    <row r="29" spans="1:18">
      <c r="A29" s="11"/>
      <c r="B29" s="5"/>
      <c r="C29" s="5"/>
      <c r="D29" s="5"/>
      <c r="E29" s="5"/>
    </row>
  </sheetData>
  <mergeCells count="3">
    <mergeCell ref="D1:E1"/>
    <mergeCell ref="D10:E10"/>
    <mergeCell ref="D21:E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DF7B-6965-4B61-B492-258808FC2A67}">
  <dimension ref="A1:AF32"/>
  <sheetViews>
    <sheetView tabSelected="1" zoomScale="70" zoomScaleNormal="70" workbookViewId="0">
      <selection activeCell="N35" sqref="N35"/>
    </sheetView>
  </sheetViews>
  <sheetFormatPr defaultRowHeight="14.4"/>
  <cols>
    <col min="1" max="1" width="13.77734375" customWidth="1"/>
    <col min="3" max="3" width="18.33203125" customWidth="1"/>
    <col min="5" max="5" width="16.5546875" customWidth="1"/>
    <col min="7" max="7" width="17.109375" customWidth="1"/>
  </cols>
  <sheetData>
    <row r="1" spans="1:32" ht="35.4" customHeight="1">
      <c r="A1" s="43" t="s">
        <v>60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</row>
    <row r="2" spans="1:32">
      <c r="A2" s="3"/>
      <c r="B2" s="3"/>
      <c r="C2" s="3"/>
      <c r="D2" s="3"/>
      <c r="E2" s="3"/>
      <c r="F2" s="3"/>
      <c r="G2" s="3"/>
    </row>
    <row r="3" spans="1:32">
      <c r="A3" s="13"/>
      <c r="B3" s="3"/>
      <c r="C3" s="13"/>
      <c r="D3" s="3"/>
      <c r="E3" s="13"/>
      <c r="F3" s="3"/>
      <c r="G3" s="13"/>
    </row>
    <row r="4" spans="1:32">
      <c r="A4" s="13"/>
      <c r="B4" s="3"/>
      <c r="C4" s="13"/>
      <c r="D4" s="3"/>
      <c r="E4" s="13"/>
      <c r="F4" s="3"/>
      <c r="G4" s="13"/>
    </row>
    <row r="5" spans="1:32">
      <c r="A5" s="3"/>
      <c r="B5" s="3"/>
      <c r="C5" s="3"/>
      <c r="D5" s="3"/>
      <c r="E5" s="3"/>
      <c r="F5" s="3"/>
      <c r="G5" s="3"/>
    </row>
    <row r="17" spans="10:15">
      <c r="J17" s="5"/>
      <c r="K17" s="5"/>
      <c r="L17" s="5"/>
      <c r="M17" s="5"/>
      <c r="N17" s="5"/>
      <c r="O17" s="5"/>
    </row>
    <row r="18" spans="10:15">
      <c r="J18" s="5"/>
      <c r="K18" s="5"/>
      <c r="L18" s="5"/>
      <c r="M18" s="5"/>
      <c r="N18" s="5"/>
      <c r="O18" s="5"/>
    </row>
    <row r="19" spans="10:15">
      <c r="J19" s="5"/>
      <c r="K19" s="5"/>
      <c r="L19" s="5"/>
      <c r="M19" s="5"/>
      <c r="N19" s="5"/>
      <c r="O19" s="5"/>
    </row>
    <row r="20" spans="10:15">
      <c r="J20" s="5"/>
      <c r="K20" s="5"/>
      <c r="L20" s="10"/>
      <c r="M20" s="10"/>
      <c r="N20" s="5"/>
      <c r="O20" s="5"/>
    </row>
    <row r="21" spans="10:15">
      <c r="J21" s="5"/>
      <c r="K21" s="5"/>
      <c r="L21" s="11"/>
      <c r="M21" s="5"/>
      <c r="N21" s="5"/>
      <c r="O21" s="5"/>
    </row>
    <row r="22" spans="10:15">
      <c r="J22" s="5"/>
      <c r="K22" s="5"/>
      <c r="L22" s="11"/>
      <c r="M22" s="5"/>
      <c r="N22" s="5"/>
      <c r="O22" s="5"/>
    </row>
    <row r="23" spans="10:15">
      <c r="J23" s="5"/>
      <c r="K23" s="5"/>
      <c r="L23" s="11"/>
      <c r="M23" s="5"/>
      <c r="N23" s="5"/>
      <c r="O23" s="5"/>
    </row>
    <row r="24" spans="10:15">
      <c r="J24" s="5"/>
      <c r="K24" s="5"/>
      <c r="L24" s="11"/>
      <c r="M24" s="5"/>
      <c r="N24" s="5"/>
      <c r="O24" s="5"/>
    </row>
    <row r="25" spans="10:15">
      <c r="J25" s="5"/>
      <c r="K25" s="5"/>
      <c r="L25" s="11"/>
      <c r="M25" s="5"/>
      <c r="N25" s="5"/>
      <c r="O25" s="5"/>
    </row>
    <row r="26" spans="10:15">
      <c r="J26" s="5"/>
      <c r="K26" s="5"/>
      <c r="L26" s="11"/>
      <c r="M26" s="5"/>
      <c r="N26" s="5"/>
      <c r="O26" s="5"/>
    </row>
    <row r="27" spans="10:15">
      <c r="J27" s="5"/>
      <c r="K27" s="5"/>
      <c r="L27" s="11"/>
      <c r="M27" s="5"/>
      <c r="N27" s="5"/>
      <c r="O27" s="5"/>
    </row>
    <row r="28" spans="10:15">
      <c r="J28" s="5"/>
      <c r="K28" s="5"/>
      <c r="L28" s="11"/>
      <c r="M28" s="5"/>
      <c r="N28" s="5"/>
      <c r="O28" s="5"/>
    </row>
    <row r="29" spans="10:15">
      <c r="J29" s="5"/>
      <c r="K29" s="5"/>
      <c r="L29" s="11"/>
      <c r="M29" s="5"/>
      <c r="N29" s="5"/>
      <c r="O29" s="5"/>
    </row>
    <row r="30" spans="10:15">
      <c r="J30" s="5"/>
      <c r="K30" s="5"/>
      <c r="L30" s="5"/>
      <c r="M30" s="5"/>
      <c r="N30" s="5"/>
      <c r="O30" s="5"/>
    </row>
    <row r="31" spans="10:15">
      <c r="J31" s="5"/>
      <c r="K31" s="5"/>
      <c r="L31" s="5"/>
      <c r="M31" s="5"/>
      <c r="N31" s="5"/>
      <c r="O31" s="5"/>
    </row>
    <row r="32" spans="10:15">
      <c r="J32" s="5"/>
      <c r="K32" s="5"/>
      <c r="L32" s="5"/>
      <c r="M32" s="5"/>
      <c r="N32" s="5"/>
      <c r="O32" s="5"/>
    </row>
  </sheetData>
  <mergeCells count="1">
    <mergeCell ref="A1:A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SPECS_LIMITS</vt:lpstr>
      <vt:lpstr>BATCH_DATA</vt:lpstr>
      <vt:lpstr>KPI_SUMMARY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 Hidalgo Kanbara (10703235)</dc:creator>
  <cp:lastModifiedBy>Ángel Hidalgo Kanbara (10703235)</cp:lastModifiedBy>
  <dcterms:created xsi:type="dcterms:W3CDTF">2026-09-23T20:33:36Z</dcterms:created>
  <dcterms:modified xsi:type="dcterms:W3CDTF">2026-09-30T16:52:39Z</dcterms:modified>
</cp:coreProperties>
</file>